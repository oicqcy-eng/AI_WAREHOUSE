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4200"/>
  </bookViews>
  <sheets>
    <sheet name="会议纪要" sheetId="20" r:id="rId1"/>
    <sheet name="B2.移动签核实施服务费用 " sheetId="19" state="hidden" r:id="rId2"/>
    <sheet name="A3.一期实施服务费用（传统）" sheetId="4" state="hidden" r:id="rId3"/>
    <sheet name="C3.三期实施服务费用 （传统）" sheetId="16" state="hidden" r:id="rId4"/>
    <sheet name="SMES标准软件费用（一期热力）" sheetId="6" state="hidden" r:id="rId5"/>
    <sheet name="一期ERP" sheetId="7" state="hidden" r:id="rId6"/>
  </sheets>
  <definedNames>
    <definedName name="軟件單價">#REF!</definedName>
    <definedName name="軟件規格">#REF!</definedName>
    <definedName name="軟件品號">#REF!</definedName>
    <definedName name="軟件品名">#REF!</definedName>
    <definedName name="實施服務">#REF!</definedName>
    <definedName name="實施服務單價">#REF!</definedName>
    <definedName name="實施服務品號">#REF!</definedName>
    <definedName name="_xlnm.Print_Area" localSheetId="0">会议纪要!$A$1:$I$27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SQ</author>
  </authors>
  <commentList>
    <comment ref="H7" authorId="0">
      <text>
        <r>
          <rPr>
            <sz val="9"/>
            <rFont val="宋体"/>
            <charset val="134"/>
          </rPr>
          <t>注：
否：不需要开通或者已开通；
是：需要开通且未开通</t>
        </r>
      </text>
    </comment>
  </commentList>
</comments>
</file>

<file path=xl/comments2.xml><?xml version="1.0" encoding="utf-8"?>
<comments xmlns="http://schemas.openxmlformats.org/spreadsheetml/2006/main">
  <authors>
    <author>dingjja</author>
  </authors>
  <commentList>
    <comment ref="F14" authorId="0">
      <text>
        <r>
          <rPr>
            <sz val="9"/>
            <rFont val="宋体"/>
            <charset val="134"/>
          </rPr>
          <t>dingjja:
请输入实际折扣率</t>
        </r>
      </text>
    </comment>
  </commentList>
</comments>
</file>

<file path=xl/comments3.xml><?xml version="1.0" encoding="utf-8"?>
<comments xmlns="http://schemas.openxmlformats.org/spreadsheetml/2006/main">
  <authors>
    <author>dingjja</author>
  </authors>
  <commentList>
    <comment ref="F45" authorId="0">
      <text>
        <r>
          <rPr>
            <sz val="9"/>
            <rFont val="宋体"/>
            <charset val="134"/>
          </rPr>
          <t>dingjja:
请输入实际折扣率</t>
        </r>
      </text>
    </comment>
  </commentList>
</comments>
</file>

<file path=xl/sharedStrings.xml><?xml version="1.0" encoding="utf-8"?>
<sst xmlns="http://schemas.openxmlformats.org/spreadsheetml/2006/main" count="409" uniqueCount="217">
  <si>
    <t>《项目管理共识纪要》</t>
  </si>
  <si>
    <t>项目范围共识：32台</t>
  </si>
  <si>
    <t>客户代号</t>
  </si>
  <si>
    <t>客户名称</t>
  </si>
  <si>
    <t>华纬汽车零部件（重庆）有限公司</t>
  </si>
  <si>
    <r>
      <rPr>
        <sz val="10.5"/>
        <color theme="1"/>
        <rFont val="宋体"/>
        <charset val="134"/>
      </rPr>
      <t>电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Times New Roman"/>
        <charset val="134"/>
      </rPr>
      <t xml:space="preserve">  </t>
    </r>
    <r>
      <rPr>
        <sz val="10.5"/>
        <color theme="1"/>
        <rFont val="宋体"/>
        <charset val="134"/>
      </rPr>
      <t>话</t>
    </r>
  </si>
  <si>
    <t>联络人</t>
  </si>
  <si>
    <r>
      <rPr>
        <sz val="10.5"/>
        <color theme="1"/>
        <rFont val="宋体"/>
        <charset val="134"/>
      </rPr>
      <t>地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Times New Roman"/>
        <charset val="134"/>
      </rPr>
      <t xml:space="preserve">  </t>
    </r>
    <r>
      <rPr>
        <sz val="10.5"/>
        <color theme="1"/>
        <rFont val="宋体"/>
        <charset val="134"/>
      </rPr>
      <t>址</t>
    </r>
  </si>
  <si>
    <t>具体联网设备信息</t>
  </si>
  <si>
    <t>控制系统采集方式信息</t>
  </si>
  <si>
    <t>序号</t>
  </si>
  <si>
    <t>设备名称</t>
  </si>
  <si>
    <t>品牌/厂家</t>
  </si>
  <si>
    <t>型号</t>
  </si>
  <si>
    <t>数量</t>
  </si>
  <si>
    <t>系统类型</t>
  </si>
  <si>
    <t>采集方式</t>
  </si>
  <si>
    <t>是否需开通授权</t>
  </si>
  <si>
    <t>数采内容</t>
  </si>
  <si>
    <t>回火炉</t>
  </si>
  <si>
    <t>中元</t>
  </si>
  <si>
    <t>西门子1200</t>
  </si>
  <si>
    <t>PLC</t>
  </si>
  <si>
    <t>S7</t>
  </si>
  <si>
    <t>否</t>
  </si>
  <si>
    <t>状态+成型工艺</t>
  </si>
  <si>
    <t>预热炉</t>
  </si>
  <si>
    <t>涂装线</t>
  </si>
  <si>
    <t>明泉</t>
  </si>
  <si>
    <t>力值分选</t>
  </si>
  <si>
    <t>定盘星</t>
  </si>
  <si>
    <t>感应加热</t>
  </si>
  <si>
    <t>西门子ET200SP1500</t>
  </si>
  <si>
    <t>冷弯</t>
  </si>
  <si>
    <t>和和机械</t>
  </si>
  <si>
    <t>PC</t>
  </si>
  <si>
    <t>modbus tcp</t>
  </si>
  <si>
    <t>传导加热</t>
  </si>
  <si>
    <t>微能</t>
  </si>
  <si>
    <t>淬火</t>
  </si>
  <si>
    <t>形状校正</t>
  </si>
  <si>
    <t>浙江志向</t>
  </si>
  <si>
    <t>西门子200smart</t>
  </si>
  <si>
    <t>IO</t>
  </si>
  <si>
    <t>IO采集</t>
  </si>
  <si>
    <t>计数</t>
  </si>
  <si>
    <t>端头镦锻</t>
  </si>
  <si>
    <t>扬州锻造</t>
  </si>
  <si>
    <t>稳定杆抛丸机</t>
  </si>
  <si>
    <t>迪沙</t>
  </si>
  <si>
    <t>同轩</t>
  </si>
  <si>
    <t>曲型</t>
  </si>
  <si>
    <t>合计设备台数</t>
  </si>
  <si>
    <t>客户签名盖章处</t>
  </si>
  <si>
    <t>日期</t>
  </si>
  <si>
    <t>顾问签名</t>
  </si>
  <si>
    <t>时间</t>
  </si>
  <si>
    <t>方鹏飞</t>
  </si>
  <si>
    <t>该文件作为项目交付范围共识</t>
  </si>
  <si>
    <t>鼎捷软件股份有限公司</t>
  </si>
  <si>
    <t>报价内容：报价详情-服务</t>
  </si>
  <si>
    <t>物料描述(中文)</t>
  </si>
  <si>
    <t>单位</t>
  </si>
  <si>
    <t>单价</t>
  </si>
  <si>
    <t>定价</t>
  </si>
  <si>
    <t>优惠价</t>
  </si>
  <si>
    <t>项目管理费</t>
  </si>
  <si>
    <t>set</t>
  </si>
  <si>
    <t>E10软件实施费</t>
  </si>
  <si>
    <t>含税优惠总计</t>
  </si>
  <si>
    <t>折扣</t>
  </si>
  <si>
    <t>报价内容：报价详情-实施服务</t>
  </si>
  <si>
    <t>物料描述中文</t>
  </si>
  <si>
    <t>总价</t>
  </si>
  <si>
    <t>A36</t>
  </si>
  <si>
    <t>E10项目经理</t>
  </si>
  <si>
    <t>人/天</t>
  </si>
  <si>
    <t xml:space="preserve"> 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</si>
  <si>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37</t>
    </r>
  </si>
  <si>
    <t>E10实施顾问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</si>
  <si>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38</t>
    </r>
  </si>
  <si>
    <t>E10管理软件15人版/安装集成服务</t>
  </si>
  <si>
    <t>人/次</t>
  </si>
  <si>
    <t>含税定价总计：</t>
  </si>
  <si>
    <t>优惠折扣：</t>
  </si>
  <si>
    <t>含税优惠总计：</t>
  </si>
  <si>
    <t>B1</t>
  </si>
  <si>
    <t>项目经理</t>
  </si>
  <si>
    <t>B2</t>
  </si>
  <si>
    <t>实施顾问</t>
  </si>
  <si>
    <t>B5</t>
  </si>
  <si>
    <t>DigiWin PLM实施安装</t>
  </si>
  <si>
    <t>报价内容：报价详情-自制软件</t>
  </si>
  <si>
    <t>编号</t>
  </si>
  <si>
    <t>选择</t>
  </si>
  <si>
    <t>备注</t>
  </si>
  <si>
    <t>A1</t>
  </si>
  <si>
    <t>113700000000002</t>
  </si>
  <si>
    <t>SMES-Server(for E)</t>
  </si>
  <si>
    <t>√</t>
  </si>
  <si>
    <r>
      <rPr>
        <sz val="10"/>
        <rFont val="微軟正黑體"/>
        <charset val="134"/>
      </rPr>
      <t>SMES-Server授</t>
    </r>
    <r>
      <rPr>
        <sz val="10"/>
        <rFont val="宋体"/>
        <charset val="134"/>
      </rPr>
      <t>权</t>
    </r>
    <r>
      <rPr>
        <sz val="10"/>
        <rFont val="微軟正黑體"/>
        <charset val="134"/>
      </rPr>
      <t>，不分模</t>
    </r>
    <r>
      <rPr>
        <sz val="10"/>
        <rFont val="宋体"/>
        <charset val="134"/>
      </rPr>
      <t>块</t>
    </r>
    <r>
      <rPr>
        <sz val="10"/>
        <rFont val="微軟正黑體"/>
        <charset val="134"/>
      </rPr>
      <t>，需搭配【E系列ERP】</t>
    </r>
    <r>
      <rPr>
        <sz val="10"/>
        <rFont val="宋体"/>
        <charset val="134"/>
      </rPr>
      <t>产</t>
    </r>
    <r>
      <rPr>
        <sz val="10"/>
        <rFont val="微軟正黑體"/>
        <charset val="134"/>
      </rPr>
      <t>品才可出</t>
    </r>
    <r>
      <rPr>
        <sz val="10"/>
        <rFont val="宋体"/>
        <charset val="134"/>
      </rPr>
      <t>货</t>
    </r>
    <r>
      <rPr>
        <sz val="10"/>
        <rFont val="微軟正黑體"/>
        <charset val="134"/>
      </rPr>
      <t>；1.适用离散制造行</t>
    </r>
    <r>
      <rPr>
        <sz val="10"/>
        <rFont val="宋体"/>
        <charset val="134"/>
      </rPr>
      <t>业</t>
    </r>
    <r>
      <rPr>
        <sz val="10"/>
        <rFont val="微軟正黑體"/>
        <charset val="134"/>
      </rPr>
      <t>；2.建</t>
    </r>
    <r>
      <rPr>
        <sz val="10"/>
        <rFont val="宋体"/>
        <charset val="134"/>
      </rPr>
      <t>议实</t>
    </r>
    <r>
      <rPr>
        <sz val="10"/>
        <rFont val="微軟正黑體"/>
        <charset val="134"/>
      </rPr>
      <t>施人天：PM5天，</t>
    </r>
    <r>
      <rPr>
        <sz val="10"/>
        <rFont val="宋体"/>
        <charset val="134"/>
      </rPr>
      <t>顾问</t>
    </r>
    <r>
      <rPr>
        <sz val="10"/>
        <rFont val="微軟正黑體"/>
        <charset val="134"/>
      </rPr>
      <t>20天；3.需至少</t>
    </r>
    <r>
      <rPr>
        <sz val="10"/>
        <rFont val="宋体"/>
        <charset val="134"/>
      </rPr>
      <t>报</t>
    </r>
    <r>
      <rPr>
        <sz val="10"/>
        <rFont val="微軟正黑體"/>
        <charset val="134"/>
      </rPr>
      <t>100H二</t>
    </r>
    <r>
      <rPr>
        <sz val="10"/>
        <rFont val="宋体"/>
        <charset val="134"/>
      </rPr>
      <t>开时数</t>
    </r>
    <r>
      <rPr>
        <sz val="10"/>
        <rFont val="微軟正黑體"/>
        <charset val="134"/>
      </rPr>
      <t>；4.必</t>
    </r>
    <r>
      <rPr>
        <sz val="10"/>
        <rFont val="宋体"/>
        <charset val="134"/>
      </rPr>
      <t>须</t>
    </r>
    <r>
      <rPr>
        <sz val="10"/>
        <rFont val="微軟正黑體"/>
        <charset val="134"/>
      </rPr>
      <t>搭配ERP工</t>
    </r>
    <r>
      <rPr>
        <sz val="10"/>
        <rFont val="宋体"/>
        <charset val="134"/>
      </rPr>
      <t>艺</t>
    </r>
    <r>
      <rPr>
        <sz val="10"/>
        <rFont val="微軟正黑體"/>
        <charset val="134"/>
      </rPr>
      <t>模</t>
    </r>
    <r>
      <rPr>
        <sz val="10"/>
        <rFont val="宋体"/>
        <charset val="134"/>
      </rPr>
      <t>块</t>
    </r>
    <r>
      <rPr>
        <sz val="10"/>
        <rFont val="微軟正黑體"/>
        <charset val="134"/>
      </rPr>
      <t>。</t>
    </r>
  </si>
  <si>
    <t>A4</t>
  </si>
  <si>
    <t>113700000001001</t>
  </si>
  <si>
    <t>SMES-Client(1U)</t>
  </si>
  <si>
    <t>U</t>
  </si>
  <si>
    <r>
      <rPr>
        <sz val="10"/>
        <rFont val="微軟正黑體"/>
        <charset val="134"/>
      </rPr>
      <t>并</t>
    </r>
    <r>
      <rPr>
        <sz val="10"/>
        <rFont val="宋体"/>
        <charset val="134"/>
      </rPr>
      <t>发</t>
    </r>
    <r>
      <rPr>
        <sz val="10"/>
        <rFont val="微軟正黑體"/>
        <charset val="134"/>
      </rPr>
      <t>用</t>
    </r>
    <r>
      <rPr>
        <sz val="10"/>
        <rFont val="宋体"/>
        <charset val="134"/>
      </rPr>
      <t>户</t>
    </r>
    <r>
      <rPr>
        <sz val="10"/>
        <rFont val="微軟正黑體"/>
        <charset val="134"/>
      </rPr>
      <t>(不分E及T)，5U起</t>
    </r>
    <r>
      <rPr>
        <sz val="10"/>
        <rFont val="宋体"/>
        <charset val="134"/>
      </rPr>
      <t>订</t>
    </r>
    <r>
      <rPr>
        <sz val="10"/>
        <rFont val="微軟正黑體"/>
        <charset val="134"/>
      </rPr>
      <t>。</t>
    </r>
  </si>
  <si>
    <t>A25</t>
  </si>
  <si>
    <t>113700000000005</t>
  </si>
  <si>
    <t>SMES-模治具寿命管理模块</t>
  </si>
  <si>
    <t>╳</t>
  </si>
  <si>
    <t>SMES增值模块，需搭配SMES Server及并发用户才可出货；建议实施4人天+30H二开</t>
  </si>
  <si>
    <t>A26</t>
  </si>
  <si>
    <t>113700000000006</t>
  </si>
  <si>
    <t>SMES-序列号管理模块</t>
  </si>
  <si>
    <t>SMES增值模块，需搭配SMES Server及并发用户才可出货；建议实施人天5人天+50H二开</t>
  </si>
  <si>
    <t>A27</t>
  </si>
  <si>
    <t>113700000000007</t>
  </si>
  <si>
    <t>SMES-工艺派工排程模块（RST）</t>
  </si>
  <si>
    <t>SMES增值模块，需搭配SMES Server及并发用户才可出货；建议实施人天8人天+50H二开</t>
  </si>
  <si>
    <t>113700SOP000001</t>
  </si>
  <si>
    <t>SMES-eSOP模組</t>
  </si>
  <si>
    <t>A3</t>
  </si>
  <si>
    <t>113700000000004</t>
  </si>
  <si>
    <t>SMES-KMI设备整合平台</t>
  </si>
  <si>
    <t>KMI平台，需搭配SMES Server及并发用户才可出货</t>
  </si>
  <si>
    <t>A5</t>
  </si>
  <si>
    <t>113700000000003</t>
  </si>
  <si>
    <t xml:space="preserve">iSPC质量管理包-SEMS捆绑 </t>
  </si>
  <si>
    <t>需搭配SMES Server及并发用户才可出货</t>
  </si>
  <si>
    <t>A14</t>
  </si>
  <si>
    <t>110300000000001</t>
  </si>
  <si>
    <t>e-Kanban电子广告牌工具</t>
  </si>
  <si>
    <t>支援SQL 2005&amp;Oracle 9i (含)以上DB,不含人数(人数请加报110300000001001)</t>
  </si>
  <si>
    <t>A16</t>
  </si>
  <si>
    <t>110300000001001</t>
  </si>
  <si>
    <t>e-Kanban电子广告牌工具增购人数1U</t>
  </si>
  <si>
    <t>不可独立购买,需搭配Server一同下单(品号:110300000000001)</t>
  </si>
  <si>
    <t>折扣率：</t>
  </si>
  <si>
    <t>实际折扣</t>
  </si>
  <si>
    <t>基础应用
模组</t>
  </si>
  <si>
    <t>基础资料</t>
  </si>
  <si>
    <t>免费赠送</t>
  </si>
  <si>
    <t>电子签核</t>
  </si>
  <si>
    <t>在线建档设计器</t>
  </si>
  <si>
    <t>凭证设计器</t>
  </si>
  <si>
    <t>报表设计器</t>
  </si>
  <si>
    <t>图形化报表</t>
  </si>
  <si>
    <t>ERPII集成接口</t>
  </si>
  <si>
    <t>BEP集成</t>
  </si>
  <si>
    <t>HRM集成</t>
  </si>
  <si>
    <t>PLM集成</t>
  </si>
  <si>
    <t>厂内智能物流集成</t>
  </si>
  <si>
    <t>厂内智能物流集成接口</t>
  </si>
  <si>
    <t xml:space="preserve">103700ALL000001 </t>
  </si>
  <si>
    <t>采购管理系统</t>
  </si>
  <si>
    <t>E10基础应用包</t>
  </si>
  <si>
    <t>A2</t>
  </si>
  <si>
    <t>销售分销管理系统</t>
  </si>
  <si>
    <t>存货管理系统</t>
  </si>
  <si>
    <t>产品结构系统</t>
  </si>
  <si>
    <t>物料规划系统</t>
  </si>
  <si>
    <t>A6</t>
  </si>
  <si>
    <t>工单管理系统</t>
  </si>
  <si>
    <t>A7</t>
  </si>
  <si>
    <t>应收管理系统</t>
  </si>
  <si>
    <t>A8</t>
  </si>
  <si>
    <t>应付管理系统</t>
  </si>
  <si>
    <t>A9</t>
  </si>
  <si>
    <t>总账管理系统</t>
  </si>
  <si>
    <t>A10</t>
  </si>
  <si>
    <t>自动分录系统</t>
  </si>
  <si>
    <t>A11</t>
  </si>
  <si>
    <t>生产成本系统</t>
  </si>
  <si>
    <t>A12</t>
  </si>
  <si>
    <t>资产管理系统</t>
  </si>
  <si>
    <t>A13</t>
  </si>
  <si>
    <t>出纳管理系统</t>
  </si>
  <si>
    <t>103700009001002</t>
  </si>
  <si>
    <t>质量管理系统</t>
  </si>
  <si>
    <t>A15</t>
  </si>
  <si>
    <t>103700008001002</t>
  </si>
  <si>
    <t>产能规划系统</t>
  </si>
  <si>
    <t>103700006001002</t>
  </si>
  <si>
    <t>工艺管理系统</t>
  </si>
  <si>
    <t>A17</t>
  </si>
  <si>
    <t>103700017001002</t>
  </si>
  <si>
    <t>设备管理系统</t>
  </si>
  <si>
    <t>A18</t>
  </si>
  <si>
    <t>103700024001002</t>
  </si>
  <si>
    <t>出口管理系统</t>
  </si>
  <si>
    <t>A19</t>
  </si>
  <si>
    <t>103700025001002</t>
  </si>
  <si>
    <t>售后服务系统</t>
  </si>
  <si>
    <t>A20</t>
  </si>
  <si>
    <t>103700024000001</t>
  </si>
  <si>
    <t>序号管理系统</t>
  </si>
  <si>
    <t>A21</t>
  </si>
  <si>
    <t>103700019001002</t>
  </si>
  <si>
    <t>集团组织管理</t>
  </si>
  <si>
    <t>A22</t>
  </si>
  <si>
    <t>103700020001002</t>
  </si>
  <si>
    <t>集团运营管理</t>
  </si>
  <si>
    <t>A23</t>
  </si>
  <si>
    <t>103700021001002</t>
  </si>
  <si>
    <t>集团财务管理</t>
  </si>
  <si>
    <t>A24</t>
  </si>
  <si>
    <t>103700018001002</t>
  </si>
  <si>
    <t>售前管理系统</t>
  </si>
  <si>
    <t>103700102001002</t>
  </si>
  <si>
    <t>售前并发用户数</t>
  </si>
  <si>
    <t>103700016001002</t>
  </si>
  <si>
    <t>条码管理系统</t>
  </si>
  <si>
    <t>103700101001002</t>
  </si>
  <si>
    <t>条码并发用户数</t>
  </si>
  <si>
    <t>A28</t>
  </si>
  <si>
    <t>103710ALL000001</t>
  </si>
  <si>
    <t>英文语言包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</si>
</sst>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¥-804]#,##0"/>
    <numFmt numFmtId="177" formatCode="#,##0_);[Red]\(#,##0\)"/>
    <numFmt numFmtId="178" formatCode="#,##0_ "/>
    <numFmt numFmtId="179" formatCode="0_);[Red]\(0\)"/>
    <numFmt numFmtId="180" formatCode="\¥#,##0.00_);[Red]\(\¥#,##0.00\)"/>
  </numFmts>
  <fonts count="45">
    <font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sz val="12"/>
      <color theme="1"/>
      <name val="微软雅黑"/>
      <charset val="134"/>
    </font>
    <font>
      <b/>
      <sz val="12"/>
      <color rgb="FFC00000"/>
      <name val="微软雅黑"/>
      <charset val="134"/>
    </font>
    <font>
      <b/>
      <sz val="12"/>
      <color theme="1"/>
      <name val="微软雅黑"/>
      <charset val="134"/>
    </font>
    <font>
      <sz val="12"/>
      <name val="微软雅黑"/>
      <charset val="134"/>
    </font>
    <font>
      <sz val="12"/>
      <color indexed="8"/>
      <name val="微软雅黑"/>
      <charset val="134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name val="微軟正黑體"/>
      <charset val="134"/>
    </font>
    <font>
      <b/>
      <sz val="11"/>
      <color theme="1"/>
      <name val="宋体"/>
      <charset val="134"/>
      <scheme val="minor"/>
    </font>
    <font>
      <b/>
      <sz val="11"/>
      <color theme="1"/>
      <name val="Microsoft YaHei Light"/>
      <charset val="134"/>
    </font>
    <font>
      <b/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u val="double"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.5"/>
      <color theme="1"/>
      <name val="宋体"/>
      <charset val="134"/>
    </font>
    <font>
      <sz val="10.5"/>
      <color theme="1"/>
      <name val="Times New Roman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5" borderId="24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0" borderId="25" applyNumberFormat="0" applyFill="0" applyAlignment="0" applyProtection="0">
      <alignment vertical="center"/>
    </xf>
    <xf numFmtId="0" fontId="30" fillId="0" borderId="26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6" borderId="27" applyNumberFormat="0" applyAlignment="0" applyProtection="0">
      <alignment vertical="center"/>
    </xf>
    <xf numFmtId="0" fontId="32" fillId="7" borderId="28" applyNumberFormat="0" applyAlignment="0" applyProtection="0">
      <alignment vertical="center"/>
    </xf>
    <xf numFmtId="0" fontId="33" fillId="7" borderId="27" applyNumberFormat="0" applyAlignment="0" applyProtection="0">
      <alignment vertical="center"/>
    </xf>
    <xf numFmtId="0" fontId="34" fillId="8" borderId="29" applyNumberFormat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6" fillId="0" borderId="31" applyNumberFormat="0" applyFill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2" fillId="0" borderId="0"/>
    <xf numFmtId="0" fontId="42" fillId="0" borderId="0">
      <alignment vertical="center"/>
    </xf>
    <xf numFmtId="0" fontId="42" fillId="0" borderId="0"/>
    <xf numFmtId="31" fontId="42" fillId="0" borderId="0">
      <alignment horizontal="left"/>
    </xf>
    <xf numFmtId="0" fontId="0" fillId="0" borderId="0">
      <alignment vertical="center"/>
    </xf>
    <xf numFmtId="176" fontId="15" fillId="0" borderId="0">
      <alignment vertical="center"/>
    </xf>
    <xf numFmtId="0" fontId="42" fillId="0" borderId="0">
      <alignment vertical="center"/>
    </xf>
  </cellStyleXfs>
  <cellXfs count="156">
    <xf numFmtId="0" fontId="0" fillId="0" borderId="0" xfId="0">
      <alignment vertical="center"/>
    </xf>
    <xf numFmtId="0" fontId="0" fillId="0" borderId="0" xfId="0" applyProtection="1">
      <alignment vertical="center"/>
    </xf>
    <xf numFmtId="0" fontId="1" fillId="0" borderId="0" xfId="0" applyFont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/>
    </xf>
    <xf numFmtId="0" fontId="2" fillId="0" borderId="0" xfId="0" applyFont="1" applyBorder="1" applyAlignment="1" applyProtection="1">
      <alignment horizontal="left" vertical="center"/>
    </xf>
    <xf numFmtId="0" fontId="3" fillId="0" borderId="1" xfId="0" applyFont="1" applyBorder="1" applyAlignment="1" applyProtection="1">
      <alignment horizontal="left" vertical="center"/>
    </xf>
    <xf numFmtId="0" fontId="4" fillId="0" borderId="2" xfId="0" applyFont="1" applyBorder="1" applyAlignment="1" applyProtection="1">
      <alignment horizontal="left" vertical="center"/>
    </xf>
    <xf numFmtId="0" fontId="2" fillId="0" borderId="2" xfId="0" applyFont="1" applyBorder="1" applyAlignment="1" applyProtection="1">
      <alignment horizontal="left" vertical="center"/>
    </xf>
    <xf numFmtId="0" fontId="0" fillId="0" borderId="3" xfId="0" applyBorder="1" applyAlignment="1" applyProtection="1">
      <alignment horizontal="left" vertical="center"/>
    </xf>
    <xf numFmtId="0" fontId="0" fillId="0" borderId="0" xfId="0" applyBorder="1" applyProtection="1">
      <alignment vertical="center"/>
    </xf>
    <xf numFmtId="0" fontId="5" fillId="0" borderId="1" xfId="49" applyFont="1" applyFill="1" applyBorder="1" applyAlignment="1" applyProtection="1">
      <alignment horizontal="center" vertical="center" wrapText="1"/>
    </xf>
    <xf numFmtId="0" fontId="5" fillId="0" borderId="2" xfId="49" applyFont="1" applyFill="1" applyBorder="1" applyAlignment="1" applyProtection="1">
      <alignment horizontal="center" vertical="center" wrapText="1"/>
    </xf>
    <xf numFmtId="0" fontId="5" fillId="0" borderId="2" xfId="50" applyFont="1" applyBorder="1" applyAlignment="1" applyProtection="1">
      <alignment horizontal="center" vertical="center"/>
    </xf>
    <xf numFmtId="0" fontId="5" fillId="0" borderId="0" xfId="49" applyFont="1" applyFill="1" applyBorder="1" applyAlignment="1" applyProtection="1">
      <alignment horizontal="center" vertical="center" wrapText="1"/>
    </xf>
    <xf numFmtId="0" fontId="6" fillId="0" borderId="0" xfId="0" applyFont="1" applyFill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/>
    </xf>
    <xf numFmtId="0" fontId="5" fillId="0" borderId="0" xfId="50" applyFont="1" applyBorder="1" applyAlignment="1" applyProtection="1">
      <alignment horizontal="center" vertical="center"/>
    </xf>
    <xf numFmtId="0" fontId="5" fillId="0" borderId="0" xfId="50" applyFont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center" vertical="center"/>
    </xf>
    <xf numFmtId="49" fontId="2" fillId="0" borderId="0" xfId="0" applyNumberFormat="1" applyFont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vertical="center" wrapText="1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177" fontId="5" fillId="0" borderId="0" xfId="50" applyNumberFormat="1" applyFont="1" applyBorder="1" applyAlignment="1" applyProtection="1">
      <alignment horizontal="center" vertical="center"/>
    </xf>
    <xf numFmtId="10" fontId="2" fillId="0" borderId="0" xfId="0" applyNumberFormat="1" applyFont="1" applyAlignment="1" applyProtection="1">
      <alignment horizontal="center" vertical="center"/>
    </xf>
    <xf numFmtId="178" fontId="2" fillId="0" borderId="0" xfId="0" applyNumberFormat="1" applyFont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 wrapText="1"/>
    </xf>
    <xf numFmtId="0" fontId="0" fillId="0" borderId="0" xfId="0" applyFill="1" applyProtection="1">
      <alignment vertical="center"/>
    </xf>
    <xf numFmtId="0" fontId="5" fillId="0" borderId="0" xfId="0" applyFont="1" applyBorder="1" applyAlignment="1" applyProtection="1">
      <alignment vertical="center" wrapText="1"/>
    </xf>
    <xf numFmtId="49" fontId="2" fillId="0" borderId="0" xfId="0" applyNumberFormat="1" applyFont="1" applyBorder="1" applyAlignment="1" applyProtection="1">
      <alignment vertical="center"/>
    </xf>
    <xf numFmtId="177" fontId="5" fillId="0" borderId="0" xfId="50" applyNumberFormat="1" applyFont="1" applyFill="1" applyBorder="1" applyAlignment="1" applyProtection="1">
      <alignment horizontal="right" vertical="center"/>
    </xf>
    <xf numFmtId="10" fontId="2" fillId="0" borderId="0" xfId="0" applyNumberFormat="1" applyFont="1" applyAlignment="1" applyProtection="1">
      <alignment vertical="center"/>
    </xf>
    <xf numFmtId="178" fontId="2" fillId="0" borderId="0" xfId="0" applyNumberFormat="1" applyFont="1" applyAlignment="1" applyProtection="1">
      <alignment horizontal="right" vertical="center"/>
    </xf>
    <xf numFmtId="0" fontId="0" fillId="0" borderId="0" xfId="0" applyProtection="1">
      <alignment vertical="center"/>
      <protection locked="0"/>
    </xf>
    <xf numFmtId="10" fontId="2" fillId="0" borderId="0" xfId="0" applyNumberFormat="1" applyFont="1" applyAlignment="1" applyProtection="1">
      <alignment vertical="center"/>
      <protection locked="0"/>
    </xf>
    <xf numFmtId="0" fontId="2" fillId="0" borderId="0" xfId="0" applyFont="1" applyFill="1" applyBorder="1" applyAlignment="1" applyProtection="1">
      <alignment vertical="center" wrapText="1"/>
      <protection locked="0"/>
    </xf>
    <xf numFmtId="0" fontId="2" fillId="0" borderId="0" xfId="0" applyFont="1" applyBorder="1" applyAlignment="1" applyProtection="1">
      <alignment vertical="center"/>
    </xf>
    <xf numFmtId="0" fontId="2" fillId="0" borderId="0" xfId="0" applyFont="1" applyFill="1" applyBorder="1" applyAlignment="1" applyProtection="1">
      <alignment vertical="center" wrapText="1"/>
    </xf>
    <xf numFmtId="0" fontId="2" fillId="0" borderId="0" xfId="50" applyNumberFormat="1" applyFont="1" applyBorder="1" applyAlignment="1" applyProtection="1">
      <alignment horizontal="center" vertical="center"/>
    </xf>
    <xf numFmtId="10" fontId="5" fillId="0" borderId="0" xfId="50" applyNumberFormat="1" applyFont="1" applyBorder="1" applyAlignment="1" applyProtection="1">
      <alignment horizontal="right" vertical="center"/>
      <protection locked="0"/>
    </xf>
    <xf numFmtId="10" fontId="5" fillId="0" borderId="0" xfId="50" applyNumberFormat="1" applyFont="1" applyBorder="1" applyAlignment="1" applyProtection="1">
      <alignment horizontal="right" vertical="center"/>
    </xf>
    <xf numFmtId="178" fontId="5" fillId="0" borderId="0" xfId="50" applyNumberFormat="1" applyFont="1" applyBorder="1" applyAlignment="1" applyProtection="1">
      <alignment horizontal="right" vertical="center"/>
    </xf>
    <xf numFmtId="0" fontId="2" fillId="0" borderId="4" xfId="0" applyFont="1" applyBorder="1" applyAlignment="1" applyProtection="1">
      <alignment vertical="center"/>
    </xf>
    <xf numFmtId="0" fontId="5" fillId="0" borderId="4" xfId="50" applyFont="1" applyBorder="1" applyAlignment="1" applyProtection="1">
      <alignment horizontal="center" vertical="center"/>
    </xf>
    <xf numFmtId="178" fontId="5" fillId="0" borderId="4" xfId="50" applyNumberFormat="1" applyFont="1" applyBorder="1" applyAlignment="1" applyProtection="1">
      <alignment horizontal="right"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5" fillId="0" borderId="6" xfId="49" applyFont="1" applyFill="1" applyBorder="1" applyAlignment="1">
      <alignment horizontal="center" vertical="center" wrapText="1"/>
    </xf>
    <xf numFmtId="0" fontId="5" fillId="0" borderId="7" xfId="49" applyFont="1" applyFill="1" applyBorder="1" applyAlignment="1">
      <alignment horizontal="center" vertical="center" wrapText="1"/>
    </xf>
    <xf numFmtId="0" fontId="5" fillId="0" borderId="7" xfId="5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left" vertical="top" wrapText="1"/>
    </xf>
    <xf numFmtId="0" fontId="8" fillId="0" borderId="8" xfId="0" applyFont="1" applyFill="1" applyBorder="1" applyAlignment="1" applyProtection="1">
      <alignment horizontal="center" vertical="center" wrapText="1"/>
      <protection locked="0"/>
    </xf>
    <xf numFmtId="0" fontId="8" fillId="0" borderId="8" xfId="0" applyFont="1" applyFill="1" applyBorder="1" applyAlignment="1">
      <alignment horizontal="center" vertical="center"/>
    </xf>
    <xf numFmtId="178" fontId="9" fillId="0" borderId="8" xfId="0" applyNumberFormat="1" applyFont="1" applyFill="1" applyBorder="1" applyAlignment="1">
      <alignment horizontal="right" vertical="center"/>
    </xf>
    <xf numFmtId="178" fontId="8" fillId="0" borderId="8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50" applyNumberFormat="1" applyFont="1" applyFill="1" applyBorder="1" applyAlignment="1">
      <alignment horizontal="center" vertical="center"/>
    </xf>
    <xf numFmtId="10" fontId="5" fillId="0" borderId="0" xfId="50" applyNumberFormat="1" applyFont="1" applyFill="1" applyBorder="1" applyAlignment="1" applyProtection="1">
      <alignment horizontal="right" vertical="center"/>
      <protection locked="0"/>
    </xf>
    <xf numFmtId="178" fontId="2" fillId="0" borderId="0" xfId="0" applyNumberFormat="1" applyFont="1" applyAlignment="1">
      <alignment vertical="center"/>
    </xf>
    <xf numFmtId="0" fontId="2" fillId="0" borderId="0" xfId="0" applyFont="1" applyBorder="1" applyAlignment="1" applyProtection="1">
      <alignment vertical="center" wrapText="1"/>
      <protection locked="0"/>
    </xf>
    <xf numFmtId="0" fontId="5" fillId="0" borderId="0" xfId="50" applyFont="1" applyFill="1" applyBorder="1" applyAlignment="1">
      <alignment horizontal="center" vertical="center"/>
    </xf>
    <xf numFmtId="178" fontId="5" fillId="0" borderId="0" xfId="50" applyNumberFormat="1" applyFont="1" applyFill="1" applyBorder="1" applyAlignment="1">
      <alignment horizontal="right" vertical="center"/>
    </xf>
    <xf numFmtId="0" fontId="2" fillId="0" borderId="4" xfId="0" applyFont="1" applyBorder="1" applyAlignment="1">
      <alignment vertical="center"/>
    </xf>
    <xf numFmtId="0" fontId="5" fillId="0" borderId="4" xfId="50" applyFont="1" applyFill="1" applyBorder="1" applyAlignment="1">
      <alignment horizontal="center" vertical="center"/>
    </xf>
    <xf numFmtId="178" fontId="5" fillId="0" borderId="4" xfId="50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0" borderId="9" xfId="0" applyNumberFormat="1" applyFont="1" applyFill="1" applyBorder="1" applyAlignment="1">
      <alignment horizontal="center" vertical="center"/>
    </xf>
    <xf numFmtId="0" fontId="0" fillId="0" borderId="10" xfId="0" applyNumberFormat="1" applyFont="1" applyFill="1" applyBorder="1" applyAlignment="1">
      <alignment horizontal="center" vertical="center"/>
    </xf>
    <xf numFmtId="0" fontId="0" fillId="0" borderId="11" xfId="0" applyNumberFormat="1" applyFont="1" applyFill="1" applyBorder="1" applyAlignment="1">
      <alignment horizontal="center" vertical="center"/>
    </xf>
    <xf numFmtId="0" fontId="10" fillId="0" borderId="12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44" fontId="10" fillId="0" borderId="8" xfId="0" applyNumberFormat="1" applyFont="1" applyFill="1" applyBorder="1" applyAlignment="1">
      <alignment vertical="center"/>
    </xf>
    <xf numFmtId="44" fontId="10" fillId="0" borderId="13" xfId="0" applyNumberFormat="1" applyFont="1" applyFill="1" applyBorder="1" applyAlignment="1">
      <alignment vertical="center"/>
    </xf>
    <xf numFmtId="0" fontId="0" fillId="0" borderId="0" xfId="0" applyFont="1">
      <alignment vertical="center"/>
    </xf>
    <xf numFmtId="0" fontId="0" fillId="0" borderId="12" xfId="0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79" fontId="5" fillId="0" borderId="0" xfId="50" applyNumberFormat="1" applyFont="1" applyBorder="1" applyAlignment="1">
      <alignment horizontal="right" vertical="center"/>
    </xf>
    <xf numFmtId="10" fontId="2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10" fillId="0" borderId="4" xfId="0" applyFont="1" applyBorder="1" applyAlignment="1">
      <alignment horizontal="right" vertical="center"/>
    </xf>
    <xf numFmtId="42" fontId="10" fillId="0" borderId="4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right" vertical="center"/>
    </xf>
    <xf numFmtId="9" fontId="10" fillId="0" borderId="5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53">
      <alignment vertical="center"/>
    </xf>
    <xf numFmtId="0" fontId="1" fillId="0" borderId="9" xfId="53" applyFont="1" applyBorder="1" applyAlignment="1" applyProtection="1">
      <alignment horizontal="center" vertical="center"/>
      <protection locked="0"/>
    </xf>
    <xf numFmtId="0" fontId="1" fillId="0" borderId="10" xfId="53" applyFont="1" applyBorder="1" applyAlignment="1" applyProtection="1">
      <alignment horizontal="center" vertical="center"/>
      <protection locked="0"/>
    </xf>
    <xf numFmtId="0" fontId="1" fillId="0" borderId="11" xfId="53" applyFont="1" applyBorder="1" applyAlignment="1" applyProtection="1">
      <alignment horizontal="center" vertical="center"/>
      <protection locked="0"/>
    </xf>
    <xf numFmtId="0" fontId="2" fillId="0" borderId="12" xfId="53" applyFont="1" applyBorder="1" applyAlignment="1" applyProtection="1">
      <alignment horizontal="center" vertical="center"/>
      <protection locked="0"/>
    </xf>
    <xf numFmtId="0" fontId="2" fillId="0" borderId="8" xfId="53" applyFont="1" applyBorder="1" applyAlignment="1" applyProtection="1">
      <alignment horizontal="center" vertical="center"/>
      <protection locked="0"/>
    </xf>
    <xf numFmtId="0" fontId="2" fillId="0" borderId="13" xfId="53" applyFont="1" applyBorder="1" applyAlignment="1" applyProtection="1">
      <alignment horizontal="center" vertical="center"/>
      <protection locked="0"/>
    </xf>
    <xf numFmtId="0" fontId="5" fillId="0" borderId="12" xfId="51" applyFont="1" applyFill="1" applyBorder="1" applyAlignment="1" applyProtection="1">
      <alignment horizontal="center" vertical="center" wrapText="1"/>
      <protection locked="0"/>
    </xf>
    <xf numFmtId="0" fontId="5" fillId="0" borderId="8" xfId="51" applyFont="1" applyFill="1" applyBorder="1" applyAlignment="1" applyProtection="1">
      <alignment horizontal="center" vertical="center" wrapText="1"/>
      <protection locked="0"/>
    </xf>
    <xf numFmtId="0" fontId="5" fillId="0" borderId="8" xfId="55" applyFont="1" applyBorder="1" applyAlignment="1" applyProtection="1">
      <alignment horizontal="center" vertical="center"/>
      <protection locked="0"/>
    </xf>
    <xf numFmtId="0" fontId="5" fillId="0" borderId="13" xfId="55" applyFont="1" applyBorder="1" applyAlignment="1" applyProtection="1">
      <alignment horizontal="center" vertical="center"/>
      <protection locked="0"/>
    </xf>
    <xf numFmtId="0" fontId="2" fillId="0" borderId="12" xfId="53" applyFont="1" applyBorder="1" applyAlignment="1" applyProtection="1">
      <alignment horizontal="center" vertical="center" wrapText="1"/>
    </xf>
    <xf numFmtId="0" fontId="2" fillId="0" borderId="8" xfId="53" applyFont="1" applyBorder="1" applyAlignment="1" applyProtection="1">
      <alignment vertical="center" wrapText="1"/>
    </xf>
    <xf numFmtId="0" fontId="2" fillId="0" borderId="8" xfId="53" applyFont="1" applyBorder="1" applyAlignment="1" applyProtection="1">
      <alignment horizontal="center" vertical="center" wrapText="1"/>
    </xf>
    <xf numFmtId="0" fontId="2" fillId="0" borderId="8" xfId="53" applyFont="1" applyBorder="1" applyAlignment="1" applyProtection="1">
      <alignment horizontal="center" vertical="center"/>
    </xf>
    <xf numFmtId="180" fontId="2" fillId="0" borderId="8" xfId="53" applyNumberFormat="1" applyFont="1" applyBorder="1" applyAlignment="1" applyProtection="1">
      <alignment horizontal="right" vertical="center"/>
    </xf>
    <xf numFmtId="180" fontId="11" fillId="0" borderId="13" xfId="53" applyNumberFormat="1" applyFont="1" applyBorder="1">
      <alignment vertical="center"/>
    </xf>
    <xf numFmtId="180" fontId="0" fillId="0" borderId="0" xfId="53" applyNumberFormat="1">
      <alignment vertical="center"/>
    </xf>
    <xf numFmtId="0" fontId="0" fillId="0" borderId="0" xfId="53" applyFont="1">
      <alignment vertical="center"/>
    </xf>
    <xf numFmtId="180" fontId="0" fillId="0" borderId="0" xfId="53" applyNumberFormat="1" applyFont="1">
      <alignment vertical="center"/>
    </xf>
    <xf numFmtId="0" fontId="2" fillId="0" borderId="4" xfId="53" applyFont="1" applyFill="1" applyBorder="1" applyAlignment="1" applyProtection="1">
      <alignment horizontal="center" vertical="center"/>
    </xf>
    <xf numFmtId="180" fontId="12" fillId="0" borderId="4" xfId="53" applyNumberFormat="1" applyFont="1" applyBorder="1" applyAlignment="1">
      <alignment horizontal="center" vertical="center"/>
    </xf>
    <xf numFmtId="9" fontId="12" fillId="0" borderId="4" xfId="53" applyNumberFormat="1" applyFont="1" applyBorder="1" applyAlignment="1">
      <alignment horizontal="center" vertical="center"/>
    </xf>
    <xf numFmtId="0" fontId="2" fillId="0" borderId="14" xfId="53" applyFont="1" applyFill="1" applyBorder="1" applyAlignment="1" applyProtection="1">
      <alignment horizontal="center" vertical="center"/>
    </xf>
    <xf numFmtId="180" fontId="13" fillId="0" borderId="14" xfId="55" applyNumberFormat="1" applyFont="1" applyFill="1" applyBorder="1" applyAlignment="1" applyProtection="1">
      <alignment horizontal="center" vertical="center"/>
    </xf>
    <xf numFmtId="0" fontId="14" fillId="0" borderId="0" xfId="53" applyFont="1">
      <alignment vertical="center"/>
    </xf>
    <xf numFmtId="0" fontId="15" fillId="0" borderId="0" xfId="0" applyFont="1" applyFill="1" applyAlignment="1"/>
    <xf numFmtId="0" fontId="15" fillId="0" borderId="0" xfId="0" applyFont="1" applyFill="1" applyAlignment="1">
      <alignment horizontal="left" wrapText="1"/>
    </xf>
    <xf numFmtId="0" fontId="16" fillId="0" borderId="8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left" vertical="center" wrapText="1"/>
    </xf>
    <xf numFmtId="0" fontId="17" fillId="0" borderId="8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 wrapText="1"/>
    </xf>
    <xf numFmtId="0" fontId="18" fillId="0" borderId="8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left" vertical="center" wrapText="1" indent="1"/>
    </xf>
    <xf numFmtId="0" fontId="19" fillId="0" borderId="8" xfId="0" applyFont="1" applyBorder="1" applyAlignment="1">
      <alignment horizontal="left" vertical="center" wrapText="1"/>
    </xf>
    <xf numFmtId="0" fontId="20" fillId="3" borderId="8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left" vertical="center" wrapText="1"/>
    </xf>
    <xf numFmtId="0" fontId="20" fillId="4" borderId="8" xfId="0" applyFont="1" applyFill="1" applyBorder="1" applyAlignment="1">
      <alignment horizontal="center" vertical="center"/>
    </xf>
    <xf numFmtId="0" fontId="20" fillId="4" borderId="8" xfId="0" applyFont="1" applyFill="1" applyBorder="1" applyAlignment="1">
      <alignment horizontal="center" vertical="center" wrapText="1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Font="1" applyFill="1" applyBorder="1" applyAlignment="1">
      <alignment horizontal="left" vertical="center" wrapText="1"/>
    </xf>
    <xf numFmtId="0" fontId="21" fillId="0" borderId="8" xfId="0" applyFont="1" applyFill="1" applyBorder="1" applyAlignment="1">
      <alignment horizontal="center" vertical="center" wrapText="1"/>
    </xf>
    <xf numFmtId="0" fontId="22" fillId="0" borderId="8" xfId="0" applyFont="1" applyFill="1" applyBorder="1" applyAlignment="1">
      <alignment horizontal="center"/>
    </xf>
    <xf numFmtId="0" fontId="22" fillId="0" borderId="8" xfId="0" applyFont="1" applyFill="1" applyBorder="1" applyAlignment="1"/>
    <xf numFmtId="0" fontId="18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14" fontId="18" fillId="0" borderId="8" xfId="0" applyNumberFormat="1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9" fillId="0" borderId="8" xfId="0" applyFont="1" applyFill="1" applyBorder="1" applyAlignment="1" quotePrefix="1">
      <alignment horizontal="left" vertical="top" wrapText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品号价格清单" xfId="49"/>
    <cellStyle name="常规_商品明细表" xfId="50"/>
    <cellStyle name="常规_品号价格清单 2" xfId="51"/>
    <cellStyle name="Date" xfId="52"/>
    <cellStyle name="常规 2" xfId="53"/>
    <cellStyle name="常规 3" xfId="54"/>
    <cellStyle name="常规_商品明细表 2" xfId="55"/>
  </cellStyles>
  <tableStyles count="0" defaultTableStyle="TableStyleMedium2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86360</xdr:colOff>
      <xdr:row>0</xdr:row>
      <xdr:rowOff>20955</xdr:rowOff>
    </xdr:from>
    <xdr:to>
      <xdr:col>1</xdr:col>
      <xdr:colOff>600710</xdr:colOff>
      <xdr:row>0</xdr:row>
      <xdr:rowOff>455930</xdr:rowOff>
    </xdr:to>
    <xdr:pic>
      <xdr:nvPicPr>
        <xdr:cNvPr id="2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360" y="20955"/>
          <a:ext cx="1018540" cy="434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44450</xdr:colOff>
      <xdr:row>0</xdr:row>
      <xdr:rowOff>0</xdr:rowOff>
    </xdr:from>
    <xdr:to>
      <xdr:col>2</xdr:col>
      <xdr:colOff>685800</xdr:colOff>
      <xdr:row>0</xdr:row>
      <xdr:rowOff>596900</xdr:rowOff>
    </xdr:to>
    <xdr:grpSp>
      <xdr:nvGrpSpPr>
        <xdr:cNvPr id="2" name="组合 1"/>
        <xdr:cNvGrpSpPr/>
      </xdr:nvGrpSpPr>
      <xdr:grpSpPr>
        <a:xfrm>
          <a:off x="655955" y="0"/>
          <a:ext cx="1252855" cy="596900"/>
          <a:chOff x="6753224" y="3390900"/>
          <a:chExt cx="3136596" cy="1381125"/>
        </a:xfrm>
      </xdr:grpSpPr>
      <xdr:pic>
        <xdr:nvPicPr>
          <xdr:cNvPr id="3" name="图片 2"/>
          <xdr:cNvPicPr>
            <a:picLocks noChangeAspect="1" noChangeArrowheads="1"/>
          </xdr:cNvPicPr>
        </xdr:nvPicPr>
        <xdr:blipFill>
          <a:blip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52293"/>
          <a:stretch>
            <a:fillRect/>
          </a:stretch>
        </xdr:blipFill>
        <xdr:spPr>
          <a:xfrm>
            <a:off x="8143875" y="3830271"/>
            <a:ext cx="1745945" cy="42424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" name="图片 3"/>
          <xdr:cNvPicPr>
            <a:picLocks noChangeAspect="1" noChangeArrowheads="1"/>
          </xdr:cNvPicPr>
        </xdr:nvPicPr>
        <xdr:blipFill>
          <a:blip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8143873" y="4235008"/>
            <a:ext cx="1645853" cy="4322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" name="图片 4"/>
          <xdr:cNvPicPr>
            <a:picLocks noChangeAspect="1" noChangeArrowheads="1"/>
          </xdr:cNvPicPr>
        </xdr:nvPicPr>
        <xdr:blipFill>
          <a:blip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1246" t="30943" r="70934" b="14340"/>
          <a:stretch>
            <a:fillRect/>
          </a:stretch>
        </xdr:blipFill>
        <xdr:spPr>
          <a:xfrm>
            <a:off x="6753224" y="3390900"/>
            <a:ext cx="1419225" cy="13811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66675</xdr:colOff>
      <xdr:row>1</xdr:row>
      <xdr:rowOff>9525</xdr:rowOff>
    </xdr:from>
    <xdr:to>
      <xdr:col>2</xdr:col>
      <xdr:colOff>942975</xdr:colOff>
      <xdr:row>2</xdr:row>
      <xdr:rowOff>9525</xdr:rowOff>
    </xdr:to>
    <xdr:grpSp>
      <xdr:nvGrpSpPr>
        <xdr:cNvPr id="2" name="组合 1"/>
        <xdr:cNvGrpSpPr/>
      </xdr:nvGrpSpPr>
      <xdr:grpSpPr>
        <a:xfrm>
          <a:off x="695325" y="196850"/>
          <a:ext cx="1417955" cy="571500"/>
          <a:chOff x="6753224" y="3390900"/>
          <a:chExt cx="3136596" cy="1381125"/>
        </a:xfrm>
      </xdr:grpSpPr>
      <xdr:pic>
        <xdr:nvPicPr>
          <xdr:cNvPr id="3" name="图片 2"/>
          <xdr:cNvPicPr>
            <a:picLocks noChangeAspect="1"/>
          </xdr:cNvPicPr>
        </xdr:nvPicPr>
        <xdr:blipFill>
          <a:blip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52293"/>
          <a:stretch>
            <a:fillRect/>
          </a:stretch>
        </xdr:blipFill>
        <xdr:spPr>
          <a:xfrm>
            <a:off x="8143875" y="3830271"/>
            <a:ext cx="1745945" cy="42424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" name="图片 3"/>
          <xdr:cNvPicPr>
            <a:picLocks noChangeAspect="1"/>
          </xdr:cNvPicPr>
        </xdr:nvPicPr>
        <xdr:blipFill>
          <a:blip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8143873" y="4235008"/>
            <a:ext cx="1645853" cy="4322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" name="图片 4"/>
          <xdr:cNvPicPr>
            <a:picLocks noChangeAspect="1"/>
          </xdr:cNvPicPr>
        </xdr:nvPicPr>
        <xdr:blipFill>
          <a:blip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1246" t="30943" r="70934" b="14340"/>
          <a:stretch>
            <a:fillRect/>
          </a:stretch>
        </xdr:blipFill>
        <xdr:spPr>
          <a:xfrm>
            <a:off x="6753224" y="3390900"/>
            <a:ext cx="1419225" cy="13811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66675</xdr:colOff>
      <xdr:row>1</xdr:row>
      <xdr:rowOff>9525</xdr:rowOff>
    </xdr:from>
    <xdr:to>
      <xdr:col>2</xdr:col>
      <xdr:colOff>942975</xdr:colOff>
      <xdr:row>2</xdr:row>
      <xdr:rowOff>9525</xdr:rowOff>
    </xdr:to>
    <xdr:grpSp>
      <xdr:nvGrpSpPr>
        <xdr:cNvPr id="2" name="组合 1"/>
        <xdr:cNvGrpSpPr/>
      </xdr:nvGrpSpPr>
      <xdr:grpSpPr>
        <a:xfrm>
          <a:off x="695325" y="196850"/>
          <a:ext cx="1417955" cy="571500"/>
          <a:chOff x="6753224" y="3390900"/>
          <a:chExt cx="3136596" cy="1381125"/>
        </a:xfrm>
      </xdr:grpSpPr>
      <xdr:pic>
        <xdr:nvPicPr>
          <xdr:cNvPr id="3" name="图片 2"/>
          <xdr:cNvPicPr>
            <a:picLocks noChangeAspect="1"/>
          </xdr:cNvPicPr>
        </xdr:nvPicPr>
        <xdr:blipFill>
          <a:blip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52293"/>
          <a:stretch>
            <a:fillRect/>
          </a:stretch>
        </xdr:blipFill>
        <xdr:spPr>
          <a:xfrm>
            <a:off x="8143875" y="3830271"/>
            <a:ext cx="1745945" cy="42424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" name="图片 3"/>
          <xdr:cNvPicPr>
            <a:picLocks noChangeAspect="1"/>
          </xdr:cNvPicPr>
        </xdr:nvPicPr>
        <xdr:blipFill>
          <a:blip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8143873" y="4235008"/>
            <a:ext cx="1645853" cy="4322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" name="图片 4"/>
          <xdr:cNvPicPr>
            <a:picLocks noChangeAspect="1"/>
          </xdr:cNvPicPr>
        </xdr:nvPicPr>
        <xdr:blipFill>
          <a:blip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1246" t="30943" r="70934" b="14340"/>
          <a:stretch>
            <a:fillRect/>
          </a:stretch>
        </xdr:blipFill>
        <xdr:spPr>
          <a:xfrm>
            <a:off x="6753224" y="3390900"/>
            <a:ext cx="1419225" cy="13811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895350</xdr:colOff>
      <xdr:row>0</xdr:row>
      <xdr:rowOff>590550</xdr:rowOff>
    </xdr:to>
    <xdr:grpSp>
      <xdr:nvGrpSpPr>
        <xdr:cNvPr id="2" name="组合 1"/>
        <xdr:cNvGrpSpPr/>
      </xdr:nvGrpSpPr>
      <xdr:grpSpPr>
        <a:xfrm>
          <a:off x="288290" y="0"/>
          <a:ext cx="1279525" cy="590550"/>
          <a:chOff x="6753224" y="3390900"/>
          <a:chExt cx="3136596" cy="1381125"/>
        </a:xfrm>
      </xdr:grpSpPr>
      <xdr:pic>
        <xdr:nvPicPr>
          <xdr:cNvPr id="3" name="图片 2"/>
          <xdr:cNvPicPr>
            <a:picLocks noChangeAspect="1" noChangeArrowheads="1"/>
          </xdr:cNvPicPr>
        </xdr:nvPicPr>
        <xdr:blipFill>
          <a:blip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52293"/>
          <a:stretch>
            <a:fillRect/>
          </a:stretch>
        </xdr:blipFill>
        <xdr:spPr>
          <a:xfrm>
            <a:off x="8143875" y="3830271"/>
            <a:ext cx="1745945" cy="42424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" name="图片 3"/>
          <xdr:cNvPicPr>
            <a:picLocks noChangeAspect="1" noChangeArrowheads="1"/>
          </xdr:cNvPicPr>
        </xdr:nvPicPr>
        <xdr:blipFill>
          <a:blip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8143873" y="4235008"/>
            <a:ext cx="1645853" cy="4322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" name="图片 4"/>
          <xdr:cNvPicPr>
            <a:picLocks noChangeAspect="1" noChangeArrowheads="1"/>
          </xdr:cNvPicPr>
        </xdr:nvPicPr>
        <xdr:blipFill>
          <a:blip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1246" t="30943" r="70934" b="14340"/>
          <a:stretch>
            <a:fillRect/>
          </a:stretch>
        </xdr:blipFill>
        <xdr:spPr>
          <a:xfrm>
            <a:off x="6753224" y="3390900"/>
            <a:ext cx="1419225" cy="13811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895350</xdr:colOff>
      <xdr:row>1</xdr:row>
      <xdr:rowOff>0</xdr:rowOff>
    </xdr:to>
    <xdr:grpSp>
      <xdr:nvGrpSpPr>
        <xdr:cNvPr id="2" name="组合 1"/>
        <xdr:cNvGrpSpPr/>
      </xdr:nvGrpSpPr>
      <xdr:grpSpPr>
        <a:xfrm>
          <a:off x="201295" y="0"/>
          <a:ext cx="1515745" cy="619125"/>
          <a:chOff x="6753224" y="3390900"/>
          <a:chExt cx="3136596" cy="1381125"/>
        </a:xfrm>
      </xdr:grpSpPr>
      <xdr:pic>
        <xdr:nvPicPr>
          <xdr:cNvPr id="3" name="图片 2"/>
          <xdr:cNvPicPr>
            <a:picLocks noChangeAspect="1" noChangeArrowheads="1"/>
          </xdr:cNvPicPr>
        </xdr:nvPicPr>
        <xdr:blipFill>
          <a:blip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52293"/>
          <a:stretch>
            <a:fillRect/>
          </a:stretch>
        </xdr:blipFill>
        <xdr:spPr>
          <a:xfrm>
            <a:off x="8143875" y="3830271"/>
            <a:ext cx="1745945" cy="42424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" name="图片 3"/>
          <xdr:cNvPicPr>
            <a:picLocks noChangeAspect="1" noChangeArrowheads="1"/>
          </xdr:cNvPicPr>
        </xdr:nvPicPr>
        <xdr:blipFill>
          <a:blip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8143873" y="4235008"/>
            <a:ext cx="1645853" cy="4322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" name="图片 4"/>
          <xdr:cNvPicPr>
            <a:picLocks noChangeAspect="1" noChangeArrowheads="1"/>
          </xdr:cNvPicPr>
        </xdr:nvPicPr>
        <xdr:blipFill>
          <a:blip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1246" t="30943" r="70934" b="14340"/>
          <a:stretch>
            <a:fillRect/>
          </a:stretch>
        </xdr:blipFill>
        <xdr:spPr>
          <a:xfrm>
            <a:off x="6753224" y="3390900"/>
            <a:ext cx="1419225" cy="13811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7"/>
  <sheetViews>
    <sheetView tabSelected="1" zoomScale="85" zoomScaleNormal="85" workbookViewId="0">
      <selection activeCell="K7" sqref="K7"/>
    </sheetView>
  </sheetViews>
  <sheetFormatPr defaultColWidth="10" defaultRowHeight="15"/>
  <cols>
    <col min="1" max="1" width="7.21818181818182" style="123" customWidth="1"/>
    <col min="2" max="2" width="12.8181818181818" style="123" customWidth="1"/>
    <col min="3" max="3" width="11.3" style="123" customWidth="1"/>
    <col min="4" max="4" width="16.9" style="124" customWidth="1"/>
    <col min="5" max="5" width="7.16363636363636" style="123" customWidth="1"/>
    <col min="6" max="6" width="10.2727272727273" style="123" customWidth="1"/>
    <col min="7" max="7" width="12.2727272727273" style="123" customWidth="1"/>
    <col min="8" max="8" width="8.98181818181818" style="123" customWidth="1"/>
    <col min="9" max="9" width="23.3090909090909" style="123" customWidth="1"/>
    <col min="10" max="16384" width="10" style="123"/>
  </cols>
  <sheetData>
    <row r="1" ht="38" customHeight="1" spans="1:9">
      <c r="A1" s="125" t="s">
        <v>0</v>
      </c>
      <c r="B1" s="125"/>
      <c r="C1" s="125"/>
      <c r="D1" s="126"/>
      <c r="E1" s="125"/>
      <c r="F1" s="125"/>
      <c r="G1" s="125"/>
      <c r="H1" s="125"/>
      <c r="I1" s="125"/>
    </row>
    <row r="2" ht="22" customHeight="1" spans="1:9">
      <c r="A2" s="127" t="s">
        <v>1</v>
      </c>
      <c r="B2" s="127"/>
      <c r="C2" s="127"/>
      <c r="D2" s="128"/>
      <c r="E2" s="127"/>
      <c r="F2" s="127"/>
      <c r="G2" s="127"/>
      <c r="H2" s="127"/>
      <c r="I2" s="127"/>
    </row>
    <row r="3" ht="22" customHeight="1" spans="1:9">
      <c r="A3" s="129" t="s">
        <v>2</v>
      </c>
      <c r="B3" s="129"/>
      <c r="C3" s="130"/>
      <c r="D3" s="130"/>
      <c r="E3" s="129" t="s">
        <v>3</v>
      </c>
      <c r="F3" s="129"/>
      <c r="G3" s="129"/>
      <c r="H3" s="129" t="s">
        <v>4</v>
      </c>
      <c r="I3" s="129"/>
    </row>
    <row r="4" ht="22" customHeight="1" spans="1:9">
      <c r="A4" s="129" t="s">
        <v>5</v>
      </c>
      <c r="B4" s="129"/>
      <c r="C4" s="130"/>
      <c r="D4" s="130"/>
      <c r="E4" s="129" t="s">
        <v>6</v>
      </c>
      <c r="F4" s="129"/>
      <c r="G4" s="129"/>
      <c r="H4" s="129"/>
      <c r="I4" s="129"/>
    </row>
    <row r="5" ht="22" customHeight="1" spans="1:9">
      <c r="A5" s="129" t="s">
        <v>7</v>
      </c>
      <c r="B5" s="129"/>
      <c r="C5" s="131"/>
      <c r="D5" s="131"/>
      <c r="E5" s="131"/>
      <c r="F5" s="131"/>
      <c r="G5" s="131"/>
      <c r="H5" s="131"/>
      <c r="I5" s="131"/>
    </row>
    <row r="6" spans="1:9">
      <c r="A6" s="132" t="s">
        <v>8</v>
      </c>
      <c r="B6" s="132"/>
      <c r="C6" s="132"/>
      <c r="D6" s="133"/>
      <c r="E6" s="132"/>
      <c r="F6" s="134" t="s">
        <v>9</v>
      </c>
      <c r="G6" s="134"/>
      <c r="H6" s="134"/>
      <c r="I6" s="134"/>
    </row>
    <row r="7" ht="29" spans="1:9">
      <c r="A7" s="132" t="s">
        <v>10</v>
      </c>
      <c r="B7" s="132" t="s">
        <v>11</v>
      </c>
      <c r="C7" s="132" t="s">
        <v>12</v>
      </c>
      <c r="D7" s="133" t="s">
        <v>13</v>
      </c>
      <c r="E7" s="132" t="s">
        <v>14</v>
      </c>
      <c r="F7" s="134" t="s">
        <v>15</v>
      </c>
      <c r="G7" s="134" t="s">
        <v>16</v>
      </c>
      <c r="H7" s="135" t="s">
        <v>17</v>
      </c>
      <c r="I7" s="134" t="s">
        <v>18</v>
      </c>
    </row>
    <row r="8" spans="1:9">
      <c r="A8" s="136">
        <v>1</v>
      </c>
      <c r="B8" s="137" t="s">
        <v>19</v>
      </c>
      <c r="C8" s="137" t="s">
        <v>20</v>
      </c>
      <c r="D8" s="138" t="s">
        <v>21</v>
      </c>
      <c r="E8" s="136">
        <v>3</v>
      </c>
      <c r="F8" s="137" t="s">
        <v>22</v>
      </c>
      <c r="G8" s="137" t="s">
        <v>23</v>
      </c>
      <c r="H8" s="137" t="s">
        <v>24</v>
      </c>
      <c r="I8" s="137" t="s">
        <v>25</v>
      </c>
    </row>
    <row r="9" spans="1:9">
      <c r="A9" s="136">
        <v>2</v>
      </c>
      <c r="B9" s="137" t="s">
        <v>26</v>
      </c>
      <c r="C9" s="137" t="s">
        <v>20</v>
      </c>
      <c r="D9" s="138" t="s">
        <v>21</v>
      </c>
      <c r="E9" s="136">
        <v>1</v>
      </c>
      <c r="F9" s="137" t="s">
        <v>22</v>
      </c>
      <c r="G9" s="137" t="s">
        <v>23</v>
      </c>
      <c r="H9" s="137" t="s">
        <v>24</v>
      </c>
      <c r="I9" s="137" t="s">
        <v>25</v>
      </c>
    </row>
    <row r="10" spans="1:9">
      <c r="A10" s="136">
        <v>3</v>
      </c>
      <c r="B10" s="137" t="s">
        <v>27</v>
      </c>
      <c r="C10" s="137" t="s">
        <v>28</v>
      </c>
      <c r="D10" s="138" t="s">
        <v>21</v>
      </c>
      <c r="E10" s="136">
        <v>1</v>
      </c>
      <c r="F10" s="137" t="s">
        <v>22</v>
      </c>
      <c r="G10" s="137" t="s">
        <v>23</v>
      </c>
      <c r="H10" s="137" t="s">
        <v>24</v>
      </c>
      <c r="I10" s="137" t="s">
        <v>25</v>
      </c>
    </row>
    <row r="11" spans="1:9">
      <c r="A11" s="136">
        <v>4</v>
      </c>
      <c r="B11" s="137" t="s">
        <v>29</v>
      </c>
      <c r="C11" s="137" t="s">
        <v>30</v>
      </c>
      <c r="D11" s="138" t="s">
        <v>21</v>
      </c>
      <c r="E11" s="136">
        <v>1</v>
      </c>
      <c r="F11" s="137" t="s">
        <v>22</v>
      </c>
      <c r="G11" s="137" t="s">
        <v>23</v>
      </c>
      <c r="H11" s="137" t="s">
        <v>24</v>
      </c>
      <c r="I11" s="137" t="s">
        <v>25</v>
      </c>
    </row>
    <row r="12" ht="29" spans="1:9">
      <c r="A12" s="136">
        <v>5</v>
      </c>
      <c r="B12" s="137" t="s">
        <v>31</v>
      </c>
      <c r="C12" s="137"/>
      <c r="D12" s="138" t="s">
        <v>32</v>
      </c>
      <c r="E12" s="136">
        <v>1</v>
      </c>
      <c r="F12" s="137" t="s">
        <v>22</v>
      </c>
      <c r="G12" s="137" t="s">
        <v>23</v>
      </c>
      <c r="H12" s="137" t="s">
        <v>24</v>
      </c>
      <c r="I12" s="137" t="s">
        <v>25</v>
      </c>
    </row>
    <row r="13" spans="1:9">
      <c r="A13" s="136">
        <v>6</v>
      </c>
      <c r="B13" s="137" t="s">
        <v>33</v>
      </c>
      <c r="C13" s="137" t="s">
        <v>34</v>
      </c>
      <c r="D13" s="138" t="s">
        <v>35</v>
      </c>
      <c r="E13" s="136">
        <v>4</v>
      </c>
      <c r="F13" s="137" t="s">
        <v>35</v>
      </c>
      <c r="G13" s="137" t="s">
        <v>36</v>
      </c>
      <c r="H13" s="137" t="s">
        <v>24</v>
      </c>
      <c r="I13" s="137" t="s">
        <v>25</v>
      </c>
    </row>
    <row r="14" spans="1:9">
      <c r="A14" s="136">
        <v>7</v>
      </c>
      <c r="B14" s="137" t="s">
        <v>37</v>
      </c>
      <c r="C14" s="137" t="s">
        <v>38</v>
      </c>
      <c r="D14" s="138" t="s">
        <v>21</v>
      </c>
      <c r="E14" s="136">
        <v>4</v>
      </c>
      <c r="F14" s="137" t="s">
        <v>22</v>
      </c>
      <c r="G14" s="137" t="s">
        <v>23</v>
      </c>
      <c r="H14" s="137" t="s">
        <v>24</v>
      </c>
      <c r="I14" s="137" t="s">
        <v>25</v>
      </c>
    </row>
    <row r="15" spans="1:9">
      <c r="A15" s="136">
        <v>8</v>
      </c>
      <c r="B15" s="137" t="s">
        <v>39</v>
      </c>
      <c r="C15" s="137" t="s">
        <v>20</v>
      </c>
      <c r="D15" s="138" t="s">
        <v>21</v>
      </c>
      <c r="E15" s="136">
        <v>3</v>
      </c>
      <c r="F15" s="137" t="s">
        <v>22</v>
      </c>
      <c r="G15" s="137" t="s">
        <v>23</v>
      </c>
      <c r="H15" s="137" t="s">
        <v>24</v>
      </c>
      <c r="I15" s="137" t="s">
        <v>25</v>
      </c>
    </row>
    <row r="16" spans="1:9">
      <c r="A16" s="136">
        <v>9</v>
      </c>
      <c r="B16" s="137" t="s">
        <v>40</v>
      </c>
      <c r="C16" s="137" t="s">
        <v>41</v>
      </c>
      <c r="D16" s="138" t="s">
        <v>42</v>
      </c>
      <c r="E16" s="136">
        <v>3</v>
      </c>
      <c r="F16" s="137" t="s">
        <v>22</v>
      </c>
      <c r="G16" s="137" t="s">
        <v>23</v>
      </c>
      <c r="H16" s="137" t="s">
        <v>24</v>
      </c>
      <c r="I16" s="137" t="s">
        <v>25</v>
      </c>
    </row>
    <row r="17" spans="1:12">
      <c r="A17" s="136">
        <v>10</v>
      </c>
      <c r="B17" s="137" t="s">
        <v>40</v>
      </c>
      <c r="C17" s="137" t="s">
        <v>38</v>
      </c>
      <c r="D17" s="138" t="s">
        <v>43</v>
      </c>
      <c r="E17" s="136">
        <v>1</v>
      </c>
      <c r="F17" s="137" t="s">
        <v>43</v>
      </c>
      <c r="G17" s="137" t="s">
        <v>44</v>
      </c>
      <c r="H17" s="137" t="s">
        <v>24</v>
      </c>
      <c r="I17" s="137" t="s">
        <v>45</v>
      </c>
    </row>
    <row r="18" spans="1:12">
      <c r="A18" s="136">
        <v>11</v>
      </c>
      <c r="B18" s="137" t="s">
        <v>31</v>
      </c>
      <c r="C18" s="137" t="s">
        <v>38</v>
      </c>
      <c r="D18" s="138" t="s">
        <v>42</v>
      </c>
      <c r="E18" s="136">
        <v>3</v>
      </c>
      <c r="F18" s="137" t="s">
        <v>22</v>
      </c>
      <c r="G18" s="137" t="s">
        <v>23</v>
      </c>
      <c r="H18" s="137" t="s">
        <v>24</v>
      </c>
      <c r="I18" s="137" t="s">
        <v>25</v>
      </c>
    </row>
    <row r="19" spans="1:12">
      <c r="A19" s="136">
        <v>12</v>
      </c>
      <c r="B19" s="137" t="s">
        <v>46</v>
      </c>
      <c r="C19" s="137" t="s">
        <v>47</v>
      </c>
      <c r="D19" s="138" t="s">
        <v>42</v>
      </c>
      <c r="E19" s="136">
        <v>3</v>
      </c>
      <c r="F19" s="137" t="s">
        <v>22</v>
      </c>
      <c r="G19" s="137" t="s">
        <v>23</v>
      </c>
      <c r="H19" s="137" t="s">
        <v>24</v>
      </c>
      <c r="I19" s="137" t="s">
        <v>25</v>
      </c>
    </row>
    <row r="20" spans="1:12">
      <c r="A20" s="136">
        <v>13</v>
      </c>
      <c r="B20" s="137" t="s">
        <v>48</v>
      </c>
      <c r="C20" s="137" t="s">
        <v>49</v>
      </c>
      <c r="D20" s="138" t="s">
        <v>21</v>
      </c>
      <c r="E20" s="136">
        <v>1</v>
      </c>
      <c r="F20" s="137" t="s">
        <v>22</v>
      </c>
      <c r="G20" s="137" t="s">
        <v>23</v>
      </c>
      <c r="H20" s="137" t="s">
        <v>24</v>
      </c>
      <c r="I20" s="137" t="s">
        <v>25</v>
      </c>
    </row>
    <row r="21" spans="1:12">
      <c r="A21" s="136">
        <v>14</v>
      </c>
      <c r="B21" s="137" t="s">
        <v>31</v>
      </c>
      <c r="C21" s="137" t="s">
        <v>50</v>
      </c>
      <c r="D21" s="138" t="s">
        <v>21</v>
      </c>
      <c r="E21" s="136">
        <v>2</v>
      </c>
      <c r="F21" s="137" t="s">
        <v>22</v>
      </c>
      <c r="G21" s="137" t="s">
        <v>23</v>
      </c>
      <c r="H21" s="137" t="s">
        <v>24</v>
      </c>
      <c r="I21" s="137" t="s">
        <v>25</v>
      </c>
      <c r="L21" s="137"/>
    </row>
    <row r="22" spans="1:12">
      <c r="A22" s="136">
        <v>15</v>
      </c>
      <c r="B22" s="137" t="s">
        <v>51</v>
      </c>
      <c r="C22" s="137" t="s">
        <v>20</v>
      </c>
      <c r="D22" s="138" t="s">
        <v>21</v>
      </c>
      <c r="E22" s="136">
        <v>1</v>
      </c>
      <c r="F22" s="137" t="s">
        <v>22</v>
      </c>
      <c r="G22" s="137" t="s">
        <v>23</v>
      </c>
      <c r="H22" s="137" t="s">
        <v>24</v>
      </c>
      <c r="I22" s="137" t="s">
        <v>25</v>
      </c>
    </row>
    <row r="23" spans="1:12">
      <c r="A23" s="136" t="s">
        <v>52</v>
      </c>
      <c r="B23" s="136"/>
      <c r="C23" s="136"/>
      <c r="D23" s="139"/>
      <c r="E23" s="140">
        <f>SUM(E8:E22)</f>
        <v>32</v>
      </c>
      <c r="F23" s="141"/>
      <c r="G23" s="141"/>
      <c r="H23" s="141"/>
      <c r="I23" s="141"/>
    </row>
    <row r="24" ht="28" customHeight="1" spans="1:12">
      <c r="A24" s="129" t="s">
        <v>53</v>
      </c>
      <c r="B24" s="129"/>
      <c r="C24" s="129"/>
      <c r="D24" s="142" t="s">
        <v>54</v>
      </c>
      <c r="E24" s="143"/>
      <c r="F24" s="144"/>
      <c r="G24" s="129" t="s">
        <v>55</v>
      </c>
      <c r="H24" s="129"/>
      <c r="I24" s="129" t="s">
        <v>56</v>
      </c>
    </row>
    <row r="25" ht="31" customHeight="1" spans="1:12">
      <c r="A25" s="145"/>
      <c r="B25" s="145"/>
      <c r="C25" s="145"/>
      <c r="D25" s="146"/>
      <c r="E25" s="147"/>
      <c r="F25" s="148"/>
      <c r="G25" s="129" t="s">
        <v>57</v>
      </c>
      <c r="H25" s="129"/>
      <c r="I25" s="149">
        <v>46191</v>
      </c>
    </row>
    <row r="26" ht="24" customHeight="1" spans="1:12">
      <c r="A26" s="150" t="s">
        <v>58</v>
      </c>
      <c r="B26" s="151"/>
      <c r="C26" s="151"/>
      <c r="D26" s="151"/>
      <c r="E26" s="151"/>
      <c r="F26" s="151"/>
      <c r="G26" s="151"/>
      <c r="H26" s="151"/>
      <c r="I26" s="152"/>
    </row>
    <row r="27" ht="24" customHeight="1" spans="1:12">
      <c r="A27" s="153"/>
      <c r="B27" s="154"/>
      <c r="C27" s="154"/>
      <c r="D27" s="154"/>
      <c r="E27" s="154"/>
      <c r="F27" s="154"/>
      <c r="G27" s="154"/>
      <c r="H27" s="154"/>
      <c r="I27" s="155"/>
    </row>
  </sheetData>
  <mergeCells count="22">
    <mergeCell ref="A1:I1"/>
    <mergeCell ref="A2:I2"/>
    <mergeCell ref="A3:B3"/>
    <mergeCell ref="C3:D3"/>
    <mergeCell ref="E3:G3"/>
    <mergeCell ref="H3:I3"/>
    <mergeCell ref="A4:B4"/>
    <mergeCell ref="C4:D4"/>
    <mergeCell ref="E4:G4"/>
    <mergeCell ref="H4:I4"/>
    <mergeCell ref="A5:B5"/>
    <mergeCell ref="C5:I5"/>
    <mergeCell ref="A6:E6"/>
    <mergeCell ref="F6:I6"/>
    <mergeCell ref="A23:D23"/>
    <mergeCell ref="A24:C24"/>
    <mergeCell ref="D24:F24"/>
    <mergeCell ref="G24:H24"/>
    <mergeCell ref="A25:C25"/>
    <mergeCell ref="D25:F25"/>
    <mergeCell ref="G25:H25"/>
    <mergeCell ref="A26:I27"/>
  </mergeCells>
  <pageMargins left="0.7" right="0.7" top="0.75" bottom="0.75" header="0.3" footer="0.3"/>
  <pageSetup paperSize="9" scale="85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B1:J10"/>
  <sheetViews>
    <sheetView workbookViewId="0">
      <selection activeCell="N16" sqref="N16"/>
    </sheetView>
  </sheetViews>
  <sheetFormatPr defaultColWidth="8.75454545454545" defaultRowHeight="14"/>
  <cols>
    <col min="1" max="2" width="8.75454545454545" style="97"/>
    <col min="3" max="3" width="20.5" style="97" customWidth="1"/>
    <col min="4" max="4" width="9.62727272727273" style="97" customWidth="1"/>
    <col min="5" max="5" width="14.5" style="97" customWidth="1"/>
    <col min="6" max="6" width="17.1272727272727" style="97" customWidth="1"/>
    <col min="7" max="7" width="17.6272727272727" style="97" customWidth="1"/>
    <col min="8" max="8" width="14.5" style="97" customWidth="1"/>
    <col min="9" max="9" width="13.5" style="97" customWidth="1"/>
    <col min="10" max="16384" width="8.75454545454545" style="97"/>
  </cols>
  <sheetData>
    <row r="1" ht="50.1" customHeight="1" spans="2:10">
      <c r="B1" s="98" t="s">
        <v>59</v>
      </c>
      <c r="C1" s="99"/>
      <c r="D1" s="99"/>
      <c r="E1" s="99"/>
      <c r="F1" s="99"/>
      <c r="G1" s="99"/>
      <c r="H1" s="100"/>
    </row>
    <row r="2" ht="19.5" customHeight="1" spans="2:10">
      <c r="B2" s="101" t="s">
        <v>60</v>
      </c>
      <c r="C2" s="102"/>
      <c r="D2" s="102"/>
      <c r="E2" s="102"/>
      <c r="F2" s="102"/>
      <c r="G2" s="102"/>
      <c r="H2" s="103"/>
    </row>
    <row r="3" ht="16.5" spans="2:10">
      <c r="B3" s="104" t="s">
        <v>10</v>
      </c>
      <c r="C3" s="105" t="s">
        <v>61</v>
      </c>
      <c r="D3" s="105" t="s">
        <v>14</v>
      </c>
      <c r="E3" s="105" t="s">
        <v>62</v>
      </c>
      <c r="F3" s="106" t="s">
        <v>63</v>
      </c>
      <c r="G3" s="106" t="s">
        <v>64</v>
      </c>
      <c r="H3" s="107" t="s">
        <v>65</v>
      </c>
    </row>
    <row r="4" ht="16.5" spans="2:10">
      <c r="B4" s="108">
        <f>ROW()-3</f>
        <v>1</v>
      </c>
      <c r="C4" s="109" t="s">
        <v>66</v>
      </c>
      <c r="D4" s="110">
        <v>1</v>
      </c>
      <c r="E4" s="111" t="s">
        <v>67</v>
      </c>
      <c r="F4" s="112">
        <v>20000</v>
      </c>
      <c r="G4" s="112">
        <v>20000</v>
      </c>
      <c r="H4" s="113">
        <f>G4*G8</f>
        <v>13000</v>
      </c>
      <c r="I4" s="114"/>
    </row>
    <row r="5" ht="16.5" spans="2:10">
      <c r="B5" s="108">
        <f>ROW()-3</f>
        <v>2</v>
      </c>
      <c r="C5" s="109" t="s">
        <v>68</v>
      </c>
      <c r="D5" s="110">
        <v>1</v>
      </c>
      <c r="E5" s="111" t="s">
        <v>67</v>
      </c>
      <c r="F5" s="112">
        <v>25000</v>
      </c>
      <c r="G5" s="112">
        <v>25000</v>
      </c>
      <c r="H5" s="113">
        <f>G5*G8</f>
        <v>16250</v>
      </c>
    </row>
    <row r="6" ht="23.1" customHeight="1" spans="2:10">
      <c r="E6" s="115"/>
      <c r="F6" s="116"/>
      <c r="G6" s="116"/>
    </row>
    <row r="7" ht="18.6" customHeight="1" spans="2:10">
      <c r="E7" s="117" t="s">
        <v>69</v>
      </c>
      <c r="F7" s="118">
        <f>SUM(G4:G5)</f>
        <v>45000</v>
      </c>
      <c r="G7" s="118"/>
      <c r="I7" s="115"/>
    </row>
    <row r="8" ht="24.95" customHeight="1" spans="2:10">
      <c r="E8" s="117" t="s">
        <v>70</v>
      </c>
      <c r="F8" s="118"/>
      <c r="G8" s="119">
        <v>0.65</v>
      </c>
      <c r="I8" s="115"/>
    </row>
    <row r="9" ht="24" customHeight="1" spans="2:10">
      <c r="E9" s="120" t="s">
        <v>69</v>
      </c>
      <c r="F9" s="121">
        <f>F7*G8</f>
        <v>29250</v>
      </c>
      <c r="G9" s="121"/>
      <c r="J9" s="122"/>
    </row>
    <row r="10" ht="14.75"/>
  </sheetData>
  <mergeCells count="4">
    <mergeCell ref="B1:H1"/>
    <mergeCell ref="B2:H2"/>
    <mergeCell ref="F7:G7"/>
    <mergeCell ref="F9:G9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B1:N12"/>
  <sheetViews>
    <sheetView workbookViewId="0">
      <selection activeCell="N16" sqref="N16"/>
    </sheetView>
  </sheetViews>
  <sheetFormatPr defaultColWidth="9" defaultRowHeight="14"/>
  <cols>
    <col min="2" max="2" width="7.75454545454545" style="71" customWidth="1"/>
    <col min="3" max="3" width="20.2545454545455" style="71" customWidth="1"/>
    <col min="4" max="4" width="13.8818181818182" style="71" customWidth="1"/>
    <col min="5" max="5" width="17" style="71" customWidth="1"/>
    <col min="6" max="7" width="16.2545454545455" customWidth="1"/>
  </cols>
  <sheetData>
    <row r="1" ht="14.75"/>
    <row r="2" ht="45" customHeight="1" spans="2:14">
      <c r="B2" s="72" t="e">
        <f>#REF!</f>
        <v>#REF!</v>
      </c>
      <c r="C2" s="73"/>
      <c r="D2" s="73"/>
      <c r="E2" s="73"/>
      <c r="F2" s="73"/>
      <c r="G2" s="74"/>
    </row>
    <row r="3" ht="29.1" customHeight="1" spans="2:14">
      <c r="B3" s="75" t="s">
        <v>71</v>
      </c>
      <c r="C3" s="76"/>
      <c r="D3" s="76"/>
      <c r="E3" s="76"/>
      <c r="F3" s="76"/>
      <c r="G3" s="77"/>
    </row>
    <row r="4" ht="30" customHeight="1" spans="2:14">
      <c r="B4" s="78" t="s">
        <v>10</v>
      </c>
      <c r="C4" s="79" t="s">
        <v>72</v>
      </c>
      <c r="D4" s="79" t="s">
        <v>14</v>
      </c>
      <c r="E4" s="79" t="s">
        <v>62</v>
      </c>
      <c r="F4" s="79" t="s">
        <v>63</v>
      </c>
      <c r="G4" s="80" t="s">
        <v>73</v>
      </c>
    </row>
    <row r="5" ht="27" customHeight="1" spans="2:14">
      <c r="B5" s="81" t="s">
        <v>74</v>
      </c>
      <c r="C5" s="82" t="s">
        <v>75</v>
      </c>
      <c r="D5" s="82">
        <v>20</v>
      </c>
      <c r="E5" s="82" t="s">
        <v>76</v>
      </c>
      <c r="F5" s="83">
        <v>6000</v>
      </c>
      <c r="G5" s="84">
        <f>D5*F5</f>
        <v>120000</v>
      </c>
      <c r="N5" s="85" t="s">
        <v>77</v>
      </c>
    </row>
    <row r="6" ht="27" customHeight="1" spans="2:14">
      <c r="B6" s="81" t="s">
        <v>78</v>
      </c>
      <c r="C6" s="82" t="s">
        <v>79</v>
      </c>
      <c r="D6" s="82">
        <v>75</v>
      </c>
      <c r="E6" s="82" t="s">
        <v>76</v>
      </c>
      <c r="F6" s="83">
        <v>5000</v>
      </c>
      <c r="G6" s="84">
        <f>D6*F6</f>
        <v>375000</v>
      </c>
    </row>
    <row r="7" ht="30" customHeight="1" spans="2:14">
      <c r="B7" s="81" t="s">
        <v>80</v>
      </c>
      <c r="C7" s="87" t="s">
        <v>81</v>
      </c>
      <c r="D7" s="82">
        <v>1</v>
      </c>
      <c r="E7" s="82" t="s">
        <v>82</v>
      </c>
      <c r="F7" s="83">
        <v>10000</v>
      </c>
      <c r="G7" s="84">
        <f>D7*F7</f>
        <v>10000</v>
      </c>
    </row>
    <row r="8" ht="17.1" customHeight="1" spans="2:14">
      <c r="C8" s="60"/>
      <c r="D8" s="34"/>
      <c r="E8" s="88"/>
      <c r="F8" s="89"/>
      <c r="G8" s="90"/>
      <c r="H8" s="91"/>
    </row>
    <row r="9" ht="27.6" customHeight="1" spans="2:14">
      <c r="F9" s="92" t="s">
        <v>83</v>
      </c>
      <c r="G9" s="93">
        <f>SUM(G5:G7)</f>
        <v>505000</v>
      </c>
    </row>
    <row r="10" ht="30" hidden="1" customHeight="1" spans="2:14">
      <c r="F10" s="94" t="s">
        <v>84</v>
      </c>
      <c r="G10" s="95">
        <v>0.7</v>
      </c>
    </row>
    <row r="11" ht="26.1" customHeight="1" spans="2:14">
      <c r="B11" s="96"/>
      <c r="C11" s="96"/>
      <c r="D11" s="96"/>
      <c r="E11" s="96"/>
      <c r="F11" s="92" t="s">
        <v>85</v>
      </c>
      <c r="G11" s="93">
        <f>G9*G10</f>
        <v>353500</v>
      </c>
    </row>
    <row r="12" ht="14.75"/>
  </sheetData>
  <mergeCells count="2">
    <mergeCell ref="B2:G2"/>
    <mergeCell ref="B3:G3"/>
  </mergeCells>
  <pageMargins left="0.699305555555556" right="0.699305555555556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B1:N12"/>
  <sheetViews>
    <sheetView workbookViewId="0">
      <selection activeCell="N16" sqref="N16"/>
    </sheetView>
  </sheetViews>
  <sheetFormatPr defaultColWidth="9" defaultRowHeight="14"/>
  <cols>
    <col min="2" max="2" width="7.75454545454545" style="71" customWidth="1"/>
    <col min="3" max="3" width="20.2545454545455" style="71" customWidth="1"/>
    <col min="4" max="4" width="13.8818181818182" style="71" customWidth="1"/>
    <col min="5" max="5" width="17" style="71" customWidth="1"/>
    <col min="6" max="7" width="16.2545454545455" customWidth="1"/>
  </cols>
  <sheetData>
    <row r="1" ht="14.75"/>
    <row r="2" ht="45" customHeight="1" spans="2:14">
      <c r="B2" s="72" t="e">
        <f>#REF!</f>
        <v>#REF!</v>
      </c>
      <c r="C2" s="73"/>
      <c r="D2" s="73"/>
      <c r="E2" s="73"/>
      <c r="F2" s="73"/>
      <c r="G2" s="74"/>
    </row>
    <row r="3" ht="29.1" customHeight="1" spans="2:14">
      <c r="B3" s="75" t="s">
        <v>71</v>
      </c>
      <c r="C3" s="76"/>
      <c r="D3" s="76"/>
      <c r="E3" s="76"/>
      <c r="F3" s="76"/>
      <c r="G3" s="77"/>
    </row>
    <row r="4" ht="30" customHeight="1" spans="2:14">
      <c r="B4" s="78" t="s">
        <v>10</v>
      </c>
      <c r="C4" s="79" t="s">
        <v>72</v>
      </c>
      <c r="D4" s="79" t="s">
        <v>14</v>
      </c>
      <c r="E4" s="79" t="s">
        <v>62</v>
      </c>
      <c r="F4" s="79" t="s">
        <v>63</v>
      </c>
      <c r="G4" s="80" t="s">
        <v>73</v>
      </c>
    </row>
    <row r="5" ht="27" customHeight="1" spans="2:14">
      <c r="B5" s="81" t="s">
        <v>86</v>
      </c>
      <c r="C5" s="82" t="s">
        <v>87</v>
      </c>
      <c r="D5" s="82">
        <v>10</v>
      </c>
      <c r="E5" s="82" t="s">
        <v>76</v>
      </c>
      <c r="F5" s="83">
        <v>6000</v>
      </c>
      <c r="G5" s="84">
        <f>D5*F5</f>
        <v>60000</v>
      </c>
      <c r="N5" s="85" t="s">
        <v>77</v>
      </c>
    </row>
    <row r="6" ht="27" customHeight="1" spans="2:14">
      <c r="B6" s="86" t="s">
        <v>88</v>
      </c>
      <c r="C6" s="82" t="s">
        <v>89</v>
      </c>
      <c r="D6" s="82">
        <v>45</v>
      </c>
      <c r="E6" s="82" t="s">
        <v>76</v>
      </c>
      <c r="F6" s="83">
        <v>5000</v>
      </c>
      <c r="G6" s="84">
        <f>D6*F6</f>
        <v>225000</v>
      </c>
    </row>
    <row r="7" ht="30" customHeight="1" spans="2:14">
      <c r="B7" s="86" t="s">
        <v>90</v>
      </c>
      <c r="C7" s="87" t="s">
        <v>91</v>
      </c>
      <c r="D7" s="82">
        <v>1</v>
      </c>
      <c r="E7" s="82" t="s">
        <v>82</v>
      </c>
      <c r="F7" s="83">
        <v>8000</v>
      </c>
      <c r="G7" s="84">
        <f>D7*F7</f>
        <v>8000</v>
      </c>
    </row>
    <row r="8" ht="17.1" customHeight="1" spans="2:14">
      <c r="C8" s="60"/>
      <c r="D8" s="34"/>
      <c r="E8" s="88"/>
      <c r="F8" s="89"/>
      <c r="G8" s="90"/>
      <c r="H8" s="91"/>
    </row>
    <row r="9" ht="24.6" customHeight="1" spans="2:14">
      <c r="F9" s="92" t="s">
        <v>83</v>
      </c>
      <c r="G9" s="93">
        <f>SUM(G5:G7)</f>
        <v>293000</v>
      </c>
    </row>
    <row r="10" ht="30" hidden="1" customHeight="1" spans="2:14">
      <c r="F10" s="94" t="s">
        <v>84</v>
      </c>
      <c r="G10" s="95">
        <v>0.7</v>
      </c>
    </row>
    <row r="11" ht="26.1" customHeight="1" spans="2:14">
      <c r="B11" s="96"/>
      <c r="C11" s="96"/>
      <c r="D11" s="96"/>
      <c r="E11" s="96"/>
      <c r="F11" s="92" t="s">
        <v>85</v>
      </c>
      <c r="G11" s="93">
        <f>G9*G10</f>
        <v>205100</v>
      </c>
    </row>
    <row r="12" ht="14.75"/>
  </sheetData>
  <mergeCells count="2">
    <mergeCell ref="B2:G2"/>
    <mergeCell ref="B3:G3"/>
  </mergeCells>
  <pageMargins left="0.699305555555556" right="0.699305555555556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B1:I16"/>
  <sheetViews>
    <sheetView zoomScale="115" zoomScaleNormal="115" workbookViewId="0">
      <selection activeCell="N16" sqref="N16"/>
    </sheetView>
  </sheetViews>
  <sheetFormatPr defaultColWidth="11" defaultRowHeight="16.5"/>
  <cols>
    <col min="1" max="1" width="4.12727272727273" style="45" customWidth="1"/>
    <col min="2" max="2" width="5.5" style="45" customWidth="1"/>
    <col min="3" max="3" width="21.5" style="45" customWidth="1"/>
    <col min="4" max="4" width="25.8818181818182" style="45" customWidth="1"/>
    <col min="5" max="6" width="5.5" style="45" customWidth="1"/>
    <col min="7" max="7" width="13.1272727272727" style="45" customWidth="1"/>
    <col min="8" max="8" width="9.5" style="45" customWidth="1"/>
    <col min="9" max="9" width="33" style="45" customWidth="1"/>
    <col min="10" max="16384" width="11" style="45"/>
  </cols>
  <sheetData>
    <row r="1" ht="50.1" customHeight="1" spans="2:9">
      <c r="B1" s="46" t="s">
        <v>59</v>
      </c>
      <c r="C1" s="47"/>
      <c r="D1" s="47"/>
      <c r="E1" s="47"/>
      <c r="F1" s="47"/>
      <c r="G1" s="47"/>
      <c r="H1" s="47"/>
    </row>
    <row r="2" ht="21" customHeight="1" spans="2:9">
      <c r="B2" s="48" t="s">
        <v>92</v>
      </c>
      <c r="C2" s="48"/>
      <c r="D2" s="48"/>
      <c r="E2" s="48"/>
      <c r="F2" s="48"/>
      <c r="G2" s="48"/>
      <c r="H2" s="48"/>
    </row>
    <row r="3" ht="21" customHeight="1" spans="2:9">
      <c r="B3" s="49" t="s">
        <v>10</v>
      </c>
      <c r="C3" s="50" t="s">
        <v>93</v>
      </c>
      <c r="D3" s="50" t="s">
        <v>61</v>
      </c>
      <c r="E3" s="50" t="s">
        <v>94</v>
      </c>
      <c r="F3" s="50" t="s">
        <v>62</v>
      </c>
      <c r="G3" s="51" t="s">
        <v>64</v>
      </c>
      <c r="H3" s="51" t="s">
        <v>65</v>
      </c>
      <c r="I3" s="45" t="s">
        <v>95</v>
      </c>
    </row>
    <row r="4" s="44" customFormat="1" ht="48" customHeight="1" spans="2:9">
      <c r="B4" s="52" t="s">
        <v>96</v>
      </c>
      <c r="C4" s="156" t="s">
        <v>97</v>
      </c>
      <c r="D4" s="53" t="s">
        <v>98</v>
      </c>
      <c r="E4" s="54" t="s">
        <v>99</v>
      </c>
      <c r="F4" s="55" t="s">
        <v>67</v>
      </c>
      <c r="G4" s="56">
        <v>500000</v>
      </c>
      <c r="H4" s="57" t="e">
        <f>G4*#REF!*IF(E4="√",1,0)</f>
        <v>#REF!</v>
      </c>
      <c r="I4" s="53" t="s">
        <v>100</v>
      </c>
    </row>
    <row r="5" s="44" customFormat="1" ht="26.1" customHeight="1" spans="2:9">
      <c r="B5" s="52" t="s">
        <v>101</v>
      </c>
      <c r="C5" s="156" t="s">
        <v>102</v>
      </c>
      <c r="D5" s="53" t="s">
        <v>103</v>
      </c>
      <c r="E5" s="54">
        <v>20</v>
      </c>
      <c r="F5" s="55" t="s">
        <v>104</v>
      </c>
      <c r="G5" s="56">
        <v>15000</v>
      </c>
      <c r="H5" s="57" t="e">
        <f>G5*#REF!*IF(E4="√",E5,0)</f>
        <v>#REF!</v>
      </c>
      <c r="I5" s="53" t="s">
        <v>105</v>
      </c>
    </row>
    <row r="6" s="44" customFormat="1" ht="29.1" hidden="1" customHeight="1" spans="2:9">
      <c r="B6" s="52" t="s">
        <v>106</v>
      </c>
      <c r="C6" s="156" t="s">
        <v>107</v>
      </c>
      <c r="D6" s="53" t="s">
        <v>108</v>
      </c>
      <c r="E6" s="54" t="s">
        <v>109</v>
      </c>
      <c r="F6" s="55" t="s">
        <v>67</v>
      </c>
      <c r="G6" s="56">
        <v>150000</v>
      </c>
      <c r="H6" s="57" t="e">
        <f>G6*#REF!*IF(E6="√",1,0)</f>
        <v>#REF!</v>
      </c>
      <c r="I6" s="53" t="s">
        <v>110</v>
      </c>
    </row>
    <row r="7" s="44" customFormat="1" ht="39.95" customHeight="1" spans="2:9">
      <c r="B7" s="52" t="s">
        <v>111</v>
      </c>
      <c r="C7" s="156" t="s">
        <v>112</v>
      </c>
      <c r="D7" s="53" t="s">
        <v>113</v>
      </c>
      <c r="E7" s="54" t="s">
        <v>109</v>
      </c>
      <c r="F7" s="55" t="s">
        <v>67</v>
      </c>
      <c r="G7" s="56">
        <v>150000</v>
      </c>
      <c r="H7" s="57" t="e">
        <f>G7*#REF!*IF(E7="√",1,0)</f>
        <v>#REF!</v>
      </c>
      <c r="I7" s="53" t="s">
        <v>114</v>
      </c>
    </row>
    <row r="8" s="44" customFormat="1" ht="30" customHeight="1" spans="2:9">
      <c r="B8" s="52" t="s">
        <v>115</v>
      </c>
      <c r="C8" s="156" t="s">
        <v>116</v>
      </c>
      <c r="D8" s="53" t="s">
        <v>117</v>
      </c>
      <c r="E8" s="54" t="s">
        <v>109</v>
      </c>
      <c r="F8" s="55" t="s">
        <v>67</v>
      </c>
      <c r="G8" s="56">
        <v>200000</v>
      </c>
      <c r="H8" s="57" t="e">
        <f>G8*#REF!*IF(E8="√",1,0)</f>
        <v>#REF!</v>
      </c>
      <c r="I8" s="53" t="s">
        <v>118</v>
      </c>
    </row>
    <row r="9" s="44" customFormat="1" ht="33" customHeight="1" spans="2:9">
      <c r="B9" s="52" t="s">
        <v>106</v>
      </c>
      <c r="C9" s="156" t="s">
        <v>119</v>
      </c>
      <c r="D9" s="53" t="s">
        <v>120</v>
      </c>
      <c r="E9" s="54" t="s">
        <v>99</v>
      </c>
      <c r="F9" s="55" t="s">
        <v>67</v>
      </c>
      <c r="G9" s="56">
        <v>78000</v>
      </c>
      <c r="H9" s="57" t="e">
        <f>G9*#REF!*IF(E9="√",1,0)</f>
        <v>#REF!</v>
      </c>
      <c r="I9" s="53" t="s">
        <v>110</v>
      </c>
    </row>
    <row r="10" s="44" customFormat="1" ht="21" customHeight="1" spans="2:9">
      <c r="B10" s="52" t="s">
        <v>121</v>
      </c>
      <c r="C10" s="156" t="s">
        <v>122</v>
      </c>
      <c r="D10" s="53" t="s">
        <v>123</v>
      </c>
      <c r="E10" s="54" t="s">
        <v>99</v>
      </c>
      <c r="F10" s="55" t="s">
        <v>67</v>
      </c>
      <c r="G10" s="56">
        <v>45000</v>
      </c>
      <c r="H10" s="57" t="e">
        <f>G10*#REF!*IF(E10="√",1,0)</f>
        <v>#REF!</v>
      </c>
      <c r="I10" s="53" t="s">
        <v>124</v>
      </c>
    </row>
    <row r="11" s="44" customFormat="1" ht="21.95" customHeight="1" spans="2:9">
      <c r="B11" s="52" t="s">
        <v>125</v>
      </c>
      <c r="C11" s="156" t="s">
        <v>126</v>
      </c>
      <c r="D11" s="53" t="s">
        <v>127</v>
      </c>
      <c r="E11" s="54" t="s">
        <v>99</v>
      </c>
      <c r="F11" s="55" t="s">
        <v>67</v>
      </c>
      <c r="G11" s="56">
        <v>150000</v>
      </c>
      <c r="H11" s="57" t="e">
        <f>G11*#REF!*IF(E11="√",1,0)</f>
        <v>#REF!</v>
      </c>
      <c r="I11" s="53" t="s">
        <v>128</v>
      </c>
    </row>
    <row r="12" s="44" customFormat="1" ht="30" customHeight="1" spans="2:9">
      <c r="B12" s="52" t="s">
        <v>129</v>
      </c>
      <c r="C12" s="156" t="s">
        <v>130</v>
      </c>
      <c r="D12" s="53" t="s">
        <v>131</v>
      </c>
      <c r="E12" s="54" t="s">
        <v>99</v>
      </c>
      <c r="F12" s="55" t="s">
        <v>67</v>
      </c>
      <c r="G12" s="56">
        <v>20000</v>
      </c>
      <c r="H12" s="57" t="e">
        <f>G12*#REF!*IF(E12="√",1,0)</f>
        <v>#REF!</v>
      </c>
      <c r="I12" s="53" t="s">
        <v>132</v>
      </c>
    </row>
    <row r="13" s="44" customFormat="1" ht="29.1" customHeight="1" spans="2:9">
      <c r="B13" s="52" t="s">
        <v>133</v>
      </c>
      <c r="C13" s="156" t="s">
        <v>134</v>
      </c>
      <c r="D13" s="53" t="s">
        <v>135</v>
      </c>
      <c r="E13" s="54">
        <v>5</v>
      </c>
      <c r="F13" s="55" t="s">
        <v>104</v>
      </c>
      <c r="G13" s="56">
        <v>4680</v>
      </c>
      <c r="H13" s="57" t="e">
        <f>G13*#REF!*IF(E12="√",E13,0)</f>
        <v>#REF!</v>
      </c>
      <c r="I13" s="53" t="s">
        <v>136</v>
      </c>
    </row>
    <row r="14" ht="21" customHeight="1" spans="2:9">
      <c r="B14" s="58"/>
      <c r="C14" s="59"/>
      <c r="D14" s="60"/>
      <c r="E14" s="61"/>
      <c r="F14" s="62" t="s">
        <v>137</v>
      </c>
      <c r="G14" s="62"/>
      <c r="H14" s="63"/>
      <c r="I14" s="64"/>
    </row>
    <row r="15" ht="21" customHeight="1" spans="2:9">
      <c r="B15" s="60"/>
      <c r="C15" s="65"/>
      <c r="D15" s="59"/>
      <c r="E15" s="61"/>
      <c r="F15" s="66" t="s">
        <v>83</v>
      </c>
      <c r="G15" s="66"/>
      <c r="H15" s="67"/>
    </row>
    <row r="16" ht="21" customHeight="1" spans="2:9">
      <c r="B16" s="68"/>
      <c r="C16" s="68"/>
      <c r="D16" s="68"/>
      <c r="E16" s="68"/>
      <c r="F16" s="69" t="s">
        <v>85</v>
      </c>
      <c r="G16" s="69"/>
      <c r="H16" s="70"/>
    </row>
  </sheetData>
  <sheetProtection selectLockedCells="1"/>
  <mergeCells count="5">
    <mergeCell ref="B1:H1"/>
    <mergeCell ref="B2:H2"/>
    <mergeCell ref="F14:G14"/>
    <mergeCell ref="F15:G15"/>
    <mergeCell ref="F16:G16"/>
  </mergeCells>
  <dataValidations count="3">
    <dataValidation type="list" allowBlank="1" showErrorMessage="1" prompt="&#10;" sqref="E4 E6 E10:E12">
      <formula1>"√,╳"</formula1>
    </dataValidation>
    <dataValidation type="whole" operator="between" allowBlank="1" showInputMessage="1" showErrorMessage="1" sqref="E5 E13">
      <formula1>5</formula1>
      <formula2>200</formula2>
    </dataValidation>
    <dataValidation type="list" allowBlank="1" showErrorMessage="1" prompt="√&#10;╳&#10;" sqref="E7:E9">
      <formula1>"√,╳"</formula1>
    </dataValidation>
  </dataValidations>
  <pageMargins left="0.699305555555556" right="0.699305555555556" top="0.75" bottom="0.75" header="0.3" footer="0.3"/>
  <pageSetup paperSize="9" orientation="portrait" horizontalDpi="1200" verticalDpi="1200"/>
  <headerFooter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B1:L48"/>
  <sheetViews>
    <sheetView topLeftCell="A15" workbookViewId="0">
      <selection activeCell="N16" sqref="N16"/>
    </sheetView>
  </sheetViews>
  <sheetFormatPr defaultColWidth="8.88181818181818" defaultRowHeight="14"/>
  <cols>
    <col min="1" max="1" width="2.88181818181818" style="1" customWidth="1"/>
    <col min="2" max="2" width="8.88181818181818" style="1"/>
    <col min="3" max="3" width="21.6272727272727" style="1" customWidth="1"/>
    <col min="4" max="4" width="20.5" style="1" customWidth="1"/>
    <col min="5" max="6" width="8.88181818181818" style="1"/>
    <col min="7" max="7" width="9.88181818181818" style="1" customWidth="1"/>
    <col min="8" max="8" width="13.5" style="1" customWidth="1"/>
    <col min="9" max="9" width="12" style="1" customWidth="1"/>
    <col min="10" max="16384" width="8.88181818181818" style="1"/>
  </cols>
  <sheetData>
    <row r="1" ht="48.75" customHeight="1" spans="2:11">
      <c r="B1" s="2" t="s">
        <v>59</v>
      </c>
      <c r="C1" s="3"/>
      <c r="D1" s="3"/>
      <c r="E1" s="3"/>
      <c r="F1" s="3"/>
      <c r="G1" s="3"/>
      <c r="H1" s="3"/>
      <c r="I1" s="3"/>
    </row>
    <row r="2" ht="17.25" spans="2:11">
      <c r="B2" s="4" t="s">
        <v>92</v>
      </c>
      <c r="C2" s="4"/>
      <c r="D2" s="4"/>
      <c r="E2" s="4"/>
      <c r="F2" s="4"/>
      <c r="G2" s="4"/>
      <c r="H2" s="4"/>
      <c r="I2" s="4"/>
    </row>
    <row r="3" ht="18" spans="2:11">
      <c r="B3" s="5"/>
      <c r="C3" s="6"/>
      <c r="D3" s="7"/>
      <c r="E3" s="7"/>
      <c r="F3" s="7"/>
      <c r="G3" s="7"/>
      <c r="H3" s="7"/>
      <c r="I3" s="7"/>
      <c r="J3" s="8"/>
      <c r="K3" s="9"/>
    </row>
    <row r="4" ht="18" spans="2:11">
      <c r="B4" s="10" t="s">
        <v>10</v>
      </c>
      <c r="C4" s="11" t="s">
        <v>93</v>
      </c>
      <c r="D4" s="11" t="s">
        <v>61</v>
      </c>
      <c r="E4" s="11" t="s">
        <v>94</v>
      </c>
      <c r="F4" s="11" t="s">
        <v>62</v>
      </c>
      <c r="G4" s="12" t="s">
        <v>64</v>
      </c>
      <c r="H4" s="12" t="s">
        <v>138</v>
      </c>
      <c r="I4" s="12" t="s">
        <v>65</v>
      </c>
      <c r="J4" s="12" t="s">
        <v>95</v>
      </c>
      <c r="K4" s="9"/>
    </row>
    <row r="5" ht="17.25" spans="2:11">
      <c r="B5" s="13"/>
      <c r="C5" s="13" t="s">
        <v>139</v>
      </c>
      <c r="D5" s="13" t="s">
        <v>140</v>
      </c>
      <c r="E5" s="14" t="s">
        <v>99</v>
      </c>
      <c r="F5" s="15" t="s">
        <v>67</v>
      </c>
      <c r="G5" s="16" t="s">
        <v>141</v>
      </c>
      <c r="H5" s="16"/>
      <c r="I5" s="16"/>
    </row>
    <row r="6" ht="16.5" spans="2:11">
      <c r="B6" s="13"/>
      <c r="C6" s="13"/>
      <c r="D6" s="13" t="s">
        <v>142</v>
      </c>
      <c r="E6" s="14" t="s">
        <v>99</v>
      </c>
      <c r="F6" s="15" t="s">
        <v>67</v>
      </c>
      <c r="G6" s="16"/>
      <c r="H6" s="16"/>
      <c r="I6" s="16"/>
    </row>
    <row r="7" ht="16.5" spans="2:11">
      <c r="B7" s="13"/>
      <c r="C7" s="13"/>
      <c r="D7" s="13" t="s">
        <v>143</v>
      </c>
      <c r="E7" s="14" t="s">
        <v>99</v>
      </c>
      <c r="F7" s="15" t="s">
        <v>67</v>
      </c>
      <c r="G7" s="16"/>
      <c r="H7" s="16"/>
      <c r="I7" s="16"/>
    </row>
    <row r="8" ht="16.5" spans="2:11">
      <c r="B8" s="13"/>
      <c r="C8" s="13"/>
      <c r="D8" s="13" t="s">
        <v>144</v>
      </c>
      <c r="E8" s="14" t="s">
        <v>99</v>
      </c>
      <c r="F8" s="15" t="s">
        <v>67</v>
      </c>
      <c r="G8" s="16"/>
      <c r="H8" s="16"/>
      <c r="I8" s="16"/>
    </row>
    <row r="9" ht="16.5" spans="2:11">
      <c r="B9" s="13"/>
      <c r="C9" s="13"/>
      <c r="D9" s="13" t="s">
        <v>145</v>
      </c>
      <c r="E9" s="14" t="s">
        <v>99</v>
      </c>
      <c r="F9" s="15" t="s">
        <v>67</v>
      </c>
      <c r="G9" s="16"/>
      <c r="H9" s="16"/>
      <c r="I9" s="16"/>
    </row>
    <row r="10" ht="16.5" spans="2:11">
      <c r="B10" s="13"/>
      <c r="C10" s="13"/>
      <c r="D10" s="13" t="s">
        <v>146</v>
      </c>
      <c r="E10" s="14" t="s">
        <v>99</v>
      </c>
      <c r="F10" s="15" t="s">
        <v>67</v>
      </c>
      <c r="G10" s="16"/>
      <c r="H10" s="16"/>
      <c r="I10" s="16"/>
    </row>
    <row r="11" ht="16.5" spans="2:11">
      <c r="B11" s="13"/>
      <c r="C11" s="13" t="s">
        <v>147</v>
      </c>
      <c r="D11" s="13" t="s">
        <v>148</v>
      </c>
      <c r="E11" s="14" t="s">
        <v>99</v>
      </c>
      <c r="F11" s="15" t="s">
        <v>67</v>
      </c>
      <c r="G11" s="16" t="s">
        <v>141</v>
      </c>
      <c r="H11" s="16"/>
      <c r="I11" s="16"/>
    </row>
    <row r="12" ht="16.5" spans="2:11">
      <c r="B12" s="13"/>
      <c r="C12" s="13"/>
      <c r="D12" s="13" t="s">
        <v>149</v>
      </c>
      <c r="E12" s="14" t="s">
        <v>99</v>
      </c>
      <c r="F12" s="15" t="s">
        <v>67</v>
      </c>
      <c r="G12" s="16"/>
      <c r="H12" s="16"/>
      <c r="I12" s="16"/>
    </row>
    <row r="13" ht="16.5" spans="2:11">
      <c r="B13" s="13"/>
      <c r="C13" s="13"/>
      <c r="D13" s="13" t="s">
        <v>150</v>
      </c>
      <c r="E13" s="14" t="s">
        <v>99</v>
      </c>
      <c r="F13" s="15" t="s">
        <v>67</v>
      </c>
      <c r="G13" s="16"/>
      <c r="H13" s="16"/>
      <c r="I13" s="16"/>
    </row>
    <row r="14" ht="33" spans="2:11">
      <c r="B14" s="13"/>
      <c r="C14" s="13" t="s">
        <v>151</v>
      </c>
      <c r="D14" s="13" t="s">
        <v>152</v>
      </c>
      <c r="E14" s="14" t="s">
        <v>99</v>
      </c>
      <c r="F14" s="15" t="s">
        <v>67</v>
      </c>
      <c r="G14" s="17" t="s">
        <v>141</v>
      </c>
      <c r="H14" s="17"/>
      <c r="I14" s="17"/>
    </row>
    <row r="15" ht="16.5" spans="2:11">
      <c r="B15" s="18" t="s">
        <v>96</v>
      </c>
      <c r="C15" s="19" t="s">
        <v>153</v>
      </c>
      <c r="D15" s="20" t="s">
        <v>154</v>
      </c>
      <c r="E15" s="21">
        <v>15</v>
      </c>
      <c r="F15" s="15" t="s">
        <v>104</v>
      </c>
      <c r="G15" s="22">
        <v>46800</v>
      </c>
      <c r="H15" s="23">
        <f>H45</f>
        <v>0.4</v>
      </c>
      <c r="I15" s="24">
        <f>G15*H15*E15</f>
        <v>280800</v>
      </c>
      <c r="J15" s="25" t="s">
        <v>155</v>
      </c>
    </row>
    <row r="16" ht="16.5" spans="2:11">
      <c r="B16" s="18" t="s">
        <v>156</v>
      </c>
      <c r="C16" s="19"/>
      <c r="D16" s="20" t="s">
        <v>157</v>
      </c>
      <c r="E16" s="21"/>
      <c r="F16" s="15"/>
      <c r="G16" s="22"/>
      <c r="H16" s="23"/>
      <c r="I16" s="24"/>
      <c r="J16" s="25"/>
    </row>
    <row r="17" ht="16.5" spans="2:12">
      <c r="B17" s="18" t="s">
        <v>121</v>
      </c>
      <c r="C17" s="19"/>
      <c r="D17" s="20" t="s">
        <v>158</v>
      </c>
      <c r="E17" s="21"/>
      <c r="F17" s="15"/>
      <c r="G17" s="22"/>
      <c r="H17" s="23"/>
      <c r="I17" s="24"/>
      <c r="J17" s="25"/>
    </row>
    <row r="18" ht="16.5" spans="2:12">
      <c r="B18" s="18" t="s">
        <v>101</v>
      </c>
      <c r="C18" s="19"/>
      <c r="D18" s="20" t="s">
        <v>159</v>
      </c>
      <c r="E18" s="21"/>
      <c r="F18" s="15"/>
      <c r="G18" s="22"/>
      <c r="H18" s="23"/>
      <c r="I18" s="24"/>
      <c r="J18" s="25"/>
    </row>
    <row r="19" ht="16.5" spans="2:12">
      <c r="B19" s="18" t="s">
        <v>125</v>
      </c>
      <c r="C19" s="19"/>
      <c r="D19" s="20" t="s">
        <v>160</v>
      </c>
      <c r="E19" s="21"/>
      <c r="F19" s="15"/>
      <c r="G19" s="22"/>
      <c r="H19" s="23"/>
      <c r="I19" s="24"/>
      <c r="J19" s="25"/>
    </row>
    <row r="20" ht="16.5" spans="2:12">
      <c r="B20" s="18" t="s">
        <v>161</v>
      </c>
      <c r="C20" s="19"/>
      <c r="D20" s="20" t="s">
        <v>162</v>
      </c>
      <c r="E20" s="21"/>
      <c r="F20" s="15"/>
      <c r="G20" s="22"/>
      <c r="H20" s="23"/>
      <c r="I20" s="24"/>
      <c r="J20" s="25"/>
    </row>
    <row r="21" ht="16.5" spans="2:12">
      <c r="B21" s="18" t="s">
        <v>163</v>
      </c>
      <c r="C21" s="19"/>
      <c r="D21" s="20" t="s">
        <v>164</v>
      </c>
      <c r="E21" s="21"/>
      <c r="F21" s="15"/>
      <c r="G21" s="22"/>
      <c r="H21" s="23"/>
      <c r="I21" s="24"/>
      <c r="J21" s="25"/>
      <c r="L21" s="26"/>
    </row>
    <row r="22" ht="16.5" spans="2:12">
      <c r="B22" s="18" t="s">
        <v>165</v>
      </c>
      <c r="C22" s="19"/>
      <c r="D22" s="20" t="s">
        <v>166</v>
      </c>
      <c r="E22" s="21"/>
      <c r="F22" s="15"/>
      <c r="G22" s="22"/>
      <c r="H22" s="23"/>
      <c r="I22" s="24"/>
      <c r="J22" s="25"/>
    </row>
    <row r="23" ht="16.5" spans="2:12">
      <c r="B23" s="18" t="s">
        <v>167</v>
      </c>
      <c r="C23" s="19"/>
      <c r="D23" s="20" t="s">
        <v>168</v>
      </c>
      <c r="E23" s="21"/>
      <c r="F23" s="15"/>
      <c r="G23" s="22"/>
      <c r="H23" s="23"/>
      <c r="I23" s="24"/>
      <c r="J23" s="25"/>
    </row>
    <row r="24" ht="16.5" spans="2:12">
      <c r="B24" s="18" t="s">
        <v>169</v>
      </c>
      <c r="C24" s="19"/>
      <c r="D24" s="20" t="s">
        <v>170</v>
      </c>
      <c r="E24" s="21"/>
      <c r="F24" s="15"/>
      <c r="G24" s="22"/>
      <c r="H24" s="23"/>
      <c r="I24" s="24"/>
      <c r="J24" s="25"/>
    </row>
    <row r="25" ht="16.5" spans="2:12">
      <c r="B25" s="18" t="s">
        <v>171</v>
      </c>
      <c r="C25" s="19"/>
      <c r="D25" s="20" t="s">
        <v>172</v>
      </c>
      <c r="E25" s="21"/>
      <c r="F25" s="15"/>
      <c r="G25" s="22"/>
      <c r="H25" s="23"/>
      <c r="I25" s="24"/>
      <c r="J25" s="25"/>
    </row>
    <row r="26" ht="16.5" spans="2:12">
      <c r="B26" s="18" t="s">
        <v>173</v>
      </c>
      <c r="C26" s="19"/>
      <c r="D26" s="27" t="s">
        <v>174</v>
      </c>
      <c r="E26" s="21"/>
      <c r="F26" s="15"/>
      <c r="G26" s="22"/>
      <c r="H26" s="23"/>
      <c r="I26" s="24"/>
      <c r="J26" s="25"/>
    </row>
    <row r="27" ht="16.5" spans="2:12">
      <c r="B27" s="18" t="s">
        <v>175</v>
      </c>
      <c r="C27" s="19"/>
      <c r="D27" s="27" t="s">
        <v>176</v>
      </c>
      <c r="E27" s="21"/>
      <c r="F27" s="15"/>
      <c r="G27" s="22"/>
      <c r="H27" s="23"/>
      <c r="I27" s="24"/>
      <c r="J27" s="25"/>
    </row>
    <row r="28" ht="16.5" spans="2:12">
      <c r="B28" s="18" t="s">
        <v>129</v>
      </c>
      <c r="C28" s="28" t="s">
        <v>177</v>
      </c>
      <c r="D28" s="20" t="s">
        <v>178</v>
      </c>
      <c r="E28" s="21" t="s">
        <v>99</v>
      </c>
      <c r="F28" s="15" t="s">
        <v>67</v>
      </c>
      <c r="G28" s="29">
        <v>20000</v>
      </c>
      <c r="H28" s="30">
        <f>H45</f>
        <v>0.4</v>
      </c>
      <c r="I28" s="31">
        <f t="shared" ref="I28:I37" si="0">G28*H28*IF(E28="√",1,0)</f>
        <v>8000</v>
      </c>
    </row>
    <row r="29" ht="16.5" hidden="1" spans="2:12">
      <c r="B29" s="18" t="s">
        <v>179</v>
      </c>
      <c r="C29" s="28" t="s">
        <v>180</v>
      </c>
      <c r="D29" s="20" t="s">
        <v>181</v>
      </c>
      <c r="E29" s="21" t="s">
        <v>109</v>
      </c>
      <c r="F29" s="15" t="s">
        <v>67</v>
      </c>
      <c r="G29" s="29">
        <v>200000</v>
      </c>
      <c r="H29" s="30">
        <f>H45</f>
        <v>0.4</v>
      </c>
      <c r="I29" s="31">
        <f t="shared" si="0"/>
        <v>0</v>
      </c>
    </row>
    <row r="30" ht="20.1" customHeight="1" spans="2:12">
      <c r="B30" s="18" t="s">
        <v>133</v>
      </c>
      <c r="C30" s="28" t="s">
        <v>182</v>
      </c>
      <c r="D30" s="20" t="s">
        <v>183</v>
      </c>
      <c r="E30" s="21" t="s">
        <v>99</v>
      </c>
      <c r="F30" s="15" t="s">
        <v>67</v>
      </c>
      <c r="G30" s="29">
        <v>80000</v>
      </c>
      <c r="H30" s="30">
        <f>H45</f>
        <v>0.4</v>
      </c>
      <c r="I30" s="31">
        <f t="shared" si="0"/>
        <v>32000</v>
      </c>
    </row>
    <row r="31" ht="21.95" hidden="1" customHeight="1" spans="2:12">
      <c r="B31" s="18" t="s">
        <v>184</v>
      </c>
      <c r="C31" s="28" t="s">
        <v>185</v>
      </c>
      <c r="D31" s="20" t="s">
        <v>186</v>
      </c>
      <c r="E31" s="21" t="s">
        <v>109</v>
      </c>
      <c r="F31" s="15" t="s">
        <v>67</v>
      </c>
      <c r="G31" s="29">
        <v>20000</v>
      </c>
      <c r="H31" s="30">
        <f>H45</f>
        <v>0.4</v>
      </c>
      <c r="I31" s="31">
        <f t="shared" si="0"/>
        <v>0</v>
      </c>
    </row>
    <row r="32" ht="30.95" hidden="1" customHeight="1" spans="2:12">
      <c r="B32" s="18" t="s">
        <v>187</v>
      </c>
      <c r="C32" s="28" t="s">
        <v>188</v>
      </c>
      <c r="D32" s="20" t="s">
        <v>189</v>
      </c>
      <c r="E32" s="21" t="s">
        <v>109</v>
      </c>
      <c r="F32" s="15" t="s">
        <v>67</v>
      </c>
      <c r="G32" s="29">
        <v>20000</v>
      </c>
      <c r="H32" s="30">
        <f>H45</f>
        <v>0.4</v>
      </c>
      <c r="I32" s="31">
        <f t="shared" si="0"/>
        <v>0</v>
      </c>
    </row>
    <row r="33" ht="36.95" hidden="1" customHeight="1" spans="2:9">
      <c r="B33" s="18" t="s">
        <v>190</v>
      </c>
      <c r="C33" s="28" t="s">
        <v>191</v>
      </c>
      <c r="D33" s="20" t="s">
        <v>192</v>
      </c>
      <c r="E33" s="21" t="s">
        <v>109</v>
      </c>
      <c r="F33" s="15" t="s">
        <v>67</v>
      </c>
      <c r="G33" s="29">
        <v>20000</v>
      </c>
      <c r="H33" s="30">
        <f>H45</f>
        <v>0.4</v>
      </c>
      <c r="I33" s="31">
        <f t="shared" si="0"/>
        <v>0</v>
      </c>
    </row>
    <row r="34" ht="20.1" hidden="1" customHeight="1" spans="2:9">
      <c r="B34" s="18" t="s">
        <v>193</v>
      </c>
      <c r="C34" s="28" t="s">
        <v>194</v>
      </c>
      <c r="D34" s="20" t="s">
        <v>195</v>
      </c>
      <c r="E34" s="21" t="s">
        <v>109</v>
      </c>
      <c r="F34" s="15" t="s">
        <v>67</v>
      </c>
      <c r="G34" s="29">
        <v>80000</v>
      </c>
      <c r="H34" s="30">
        <f>H45</f>
        <v>0.4</v>
      </c>
      <c r="I34" s="31">
        <f t="shared" si="0"/>
        <v>0</v>
      </c>
    </row>
    <row r="35" ht="30" hidden="1" customHeight="1" spans="2:9">
      <c r="B35" s="18" t="s">
        <v>196</v>
      </c>
      <c r="C35" s="28" t="s">
        <v>197</v>
      </c>
      <c r="D35" s="20" t="s">
        <v>198</v>
      </c>
      <c r="E35" s="21" t="s">
        <v>109</v>
      </c>
      <c r="F35" s="15" t="s">
        <v>67</v>
      </c>
      <c r="G35" s="29">
        <v>100000</v>
      </c>
      <c r="H35" s="30">
        <f>H45</f>
        <v>0.4</v>
      </c>
      <c r="I35" s="31">
        <f t="shared" si="0"/>
        <v>0</v>
      </c>
    </row>
    <row r="36" ht="23.1" hidden="1" customHeight="1" spans="2:9">
      <c r="B36" s="18" t="s">
        <v>199</v>
      </c>
      <c r="C36" s="28" t="s">
        <v>200</v>
      </c>
      <c r="D36" s="20" t="s">
        <v>201</v>
      </c>
      <c r="E36" s="21" t="s">
        <v>109</v>
      </c>
      <c r="F36" s="15" t="s">
        <v>67</v>
      </c>
      <c r="G36" s="29">
        <v>200000</v>
      </c>
      <c r="H36" s="30">
        <f>H45</f>
        <v>0.4</v>
      </c>
      <c r="I36" s="31">
        <f t="shared" si="0"/>
        <v>0</v>
      </c>
    </row>
    <row r="37" ht="26.1" hidden="1" customHeight="1" spans="2:9">
      <c r="B37" s="18" t="s">
        <v>202</v>
      </c>
      <c r="C37" s="28" t="s">
        <v>203</v>
      </c>
      <c r="D37" s="20" t="s">
        <v>204</v>
      </c>
      <c r="E37" s="21" t="s">
        <v>109</v>
      </c>
      <c r="F37" s="15" t="s">
        <v>67</v>
      </c>
      <c r="G37" s="29">
        <v>100000</v>
      </c>
      <c r="H37" s="30">
        <f>H45</f>
        <v>0.4</v>
      </c>
      <c r="I37" s="31">
        <f t="shared" si="0"/>
        <v>0</v>
      </c>
    </row>
    <row r="38" ht="26.1" hidden="1" customHeight="1" spans="2:9">
      <c r="E38" s="32"/>
      <c r="G38" s="26"/>
    </row>
    <row r="39" ht="17.1" hidden="1" customHeight="1" spans="2:9">
      <c r="B39" s="18" t="s">
        <v>205</v>
      </c>
      <c r="C39" s="28" t="s">
        <v>206</v>
      </c>
      <c r="D39" s="20" t="s">
        <v>207</v>
      </c>
      <c r="E39" s="21" t="s">
        <v>109</v>
      </c>
      <c r="F39" s="15" t="s">
        <v>67</v>
      </c>
      <c r="G39" s="29">
        <v>20000</v>
      </c>
      <c r="H39" s="33">
        <f>H45</f>
        <v>0.4</v>
      </c>
      <c r="I39" s="31">
        <f t="shared" ref="I39:I44" si="1">G39*H39*IF(E39="√",1,0)</f>
        <v>0</v>
      </c>
    </row>
    <row r="40" ht="18" hidden="1" customHeight="1" spans="2:9">
      <c r="B40" s="18" t="s">
        <v>106</v>
      </c>
      <c r="C40" s="28" t="s">
        <v>208</v>
      </c>
      <c r="D40" s="20" t="s">
        <v>209</v>
      </c>
      <c r="E40" s="34">
        <v>5</v>
      </c>
      <c r="F40" s="15" t="s">
        <v>104</v>
      </c>
      <c r="G40" s="29">
        <v>10000</v>
      </c>
      <c r="H40" s="33">
        <f>H45</f>
        <v>0.4</v>
      </c>
      <c r="I40" s="31">
        <f>G40*H40*IF(E39="√",E40,0)</f>
        <v>0</v>
      </c>
    </row>
    <row r="41" ht="15.95" hidden="1" customHeight="1" spans="2:9">
      <c r="B41" s="18" t="s">
        <v>111</v>
      </c>
      <c r="C41" s="28" t="s">
        <v>210</v>
      </c>
      <c r="D41" s="20" t="s">
        <v>211</v>
      </c>
      <c r="E41" s="21" t="s">
        <v>109</v>
      </c>
      <c r="F41" s="15" t="s">
        <v>67</v>
      </c>
      <c r="G41" s="29">
        <v>80000</v>
      </c>
      <c r="H41" s="33">
        <f>H45</f>
        <v>0.4</v>
      </c>
      <c r="I41" s="31">
        <f t="shared" si="1"/>
        <v>0</v>
      </c>
    </row>
    <row r="42" ht="17.1" hidden="1" customHeight="1" spans="2:9">
      <c r="B42" s="18" t="s">
        <v>115</v>
      </c>
      <c r="C42" s="28" t="s">
        <v>212</v>
      </c>
      <c r="D42" s="20" t="s">
        <v>213</v>
      </c>
      <c r="E42" s="34">
        <v>5</v>
      </c>
      <c r="F42" s="15" t="s">
        <v>104</v>
      </c>
      <c r="G42" s="29">
        <v>5000</v>
      </c>
      <c r="H42" s="33">
        <f>H45</f>
        <v>0.4</v>
      </c>
      <c r="I42" s="31">
        <f>G42*H42*IF(E41="√",E42,0)</f>
        <v>0</v>
      </c>
    </row>
    <row r="43" ht="20.1" hidden="1" customHeight="1" spans="2:9">
      <c r="B43" s="18"/>
      <c r="C43" s="28"/>
      <c r="D43" s="20"/>
      <c r="E43" s="34"/>
      <c r="F43" s="15"/>
      <c r="G43" s="29"/>
      <c r="H43" s="33"/>
      <c r="I43" s="31"/>
    </row>
    <row r="44" ht="21" hidden="1" customHeight="1" spans="2:9">
      <c r="B44" s="18" t="s">
        <v>214</v>
      </c>
      <c r="C44" s="28" t="s">
        <v>215</v>
      </c>
      <c r="D44" s="20" t="s">
        <v>216</v>
      </c>
      <c r="E44" s="21" t="s">
        <v>109</v>
      </c>
      <c r="F44" s="15" t="s">
        <v>67</v>
      </c>
      <c r="G44" s="29">
        <v>100000</v>
      </c>
      <c r="H44" s="30">
        <f>H45</f>
        <v>0.4</v>
      </c>
      <c r="I44" s="31">
        <f t="shared" si="1"/>
        <v>0</v>
      </c>
    </row>
    <row r="45" ht="16.5" spans="2:9">
      <c r="B45" s="18"/>
      <c r="C45" s="35"/>
      <c r="D45" s="20"/>
      <c r="E45" s="36"/>
      <c r="F45" s="37" t="s">
        <v>137</v>
      </c>
      <c r="G45" s="37"/>
      <c r="H45" s="38">
        <v>0.4</v>
      </c>
      <c r="I45" s="39"/>
    </row>
    <row r="46" ht="16.5" spans="2:9">
      <c r="B46" s="20"/>
      <c r="C46" s="20"/>
      <c r="D46" s="35"/>
      <c r="E46" s="36"/>
      <c r="F46" s="16" t="s">
        <v>83</v>
      </c>
      <c r="G46" s="16"/>
      <c r="H46" s="40">
        <f>G15*E15+IF(E28="√",1,0)*G28+IF(E29="√",1,0)*G29+IF(E30="√",1,0)*G30+IF(E31="√",1,0)*G31+IF(E32="√",1,0)*G32+IF(E33="√",1,0)*G33+IF(E35="√",1,0)*G35+IF(E36="√",1,0)*G36+IF(E37="√",1,0)*G37+IF(E39="√",1,0)*G39+IF(E39="√",1,0)*G40*E40+IF(E41="√",1,0)*G41+IF(E41="√",1,0)*G42*E42+IF(E44="√",1,0)*G44</f>
        <v>802000</v>
      </c>
      <c r="I46" s="40"/>
    </row>
    <row r="47" ht="17.25" spans="2:9">
      <c r="B47" s="41"/>
      <c r="C47" s="41"/>
      <c r="D47" s="41"/>
      <c r="E47" s="41"/>
      <c r="F47" s="42" t="s">
        <v>85</v>
      </c>
      <c r="G47" s="42"/>
      <c r="H47" s="43">
        <f>SUM(I15:I44)</f>
        <v>320800</v>
      </c>
      <c r="I47" s="43"/>
    </row>
    <row r="48" ht="14.75"/>
  </sheetData>
  <sheetProtection selectLockedCells="1"/>
  <mergeCells count="14">
    <mergeCell ref="B1:I1"/>
    <mergeCell ref="B2:I2"/>
    <mergeCell ref="G14:I14"/>
    <mergeCell ref="C5:C10"/>
    <mergeCell ref="C11:C13"/>
    <mergeCell ref="C15:C27"/>
    <mergeCell ref="E15:E27"/>
    <mergeCell ref="F15:F27"/>
    <mergeCell ref="G15:G27"/>
    <mergeCell ref="H15:H27"/>
    <mergeCell ref="I15:I27"/>
    <mergeCell ref="J15:J27"/>
    <mergeCell ref="G5:I10"/>
    <mergeCell ref="G11:I13"/>
  </mergeCells>
  <dataValidations count="4">
    <dataValidation type="list" allowBlank="1" showErrorMessage="1" prompt="√&#10;╳&#10;" sqref="E39 E41">
      <formula1>"√,╳"</formula1>
    </dataValidation>
    <dataValidation type="whole" operator="between" allowBlank="1" showInputMessage="1" showErrorMessage="1" sqref="E40">
      <formula1>5</formula1>
      <formula2>200</formula2>
    </dataValidation>
    <dataValidation type="list" allowBlank="1" showErrorMessage="1" prompt="&#10;" sqref="E44 E5:E14 E28:E37">
      <formula1>"√,╳"</formula1>
    </dataValidation>
    <dataValidation type="whole" operator="between" showInputMessage="1" showErrorMessage="1" sqref="E42:E43">
      <formula1>5</formula1>
      <formula2>200</formula2>
    </dataValidation>
  </dataValidations>
  <pageMargins left="0.699305555555556" right="0.699305555555556" top="0.75" bottom="0.75" header="0.3" footer="0.3"/>
  <pageSetup paperSize="9" orientation="portrait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会议纪要</vt:lpstr>
      <vt:lpstr>B2.移动签核实施服务费用 </vt:lpstr>
      <vt:lpstr>A3.一期实施服务费用（传统）</vt:lpstr>
      <vt:lpstr>C3.三期实施服务费用 （传统）</vt:lpstr>
      <vt:lpstr>SMES标准软件费用（一期热力）</vt:lpstr>
      <vt:lpstr>一期ERP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王翔</dc:creator>
  <cp:lastModifiedBy>阿信</cp:lastModifiedBy>
  <dcterms:created xsi:type="dcterms:W3CDTF">2016-05-24T08:18:00Z</dcterms:created>
  <dcterms:modified xsi:type="dcterms:W3CDTF">2026-06-22T07:05:59Z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E2678BC195EA465EA5F0ABE50C76D219_13</vt:lpwstr>
  </property>
  <property fmtid="{D5CDD505-2E9C-101B-9397-08002B2CF9AE}" pid="4" name="CalculationRule">
    <vt:i4>0</vt:i4>
  </property>
</Properties>
</file>