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" sheetId="1" r:id="rId1"/>
    <sheet name="C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cols>
    <col min="1" max="1" width="6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9.83203125" customWidth="1"/>
    <col min="7" max="7" width="9.83203125" customWidth="1"/>
    <col min="8" max="8" width="42.83203125" customWidth="1"/>
    <col min="9" max="9" width="60.83203125" customWidth="1"/>
    <col min="10" max="10" width="16.83203125" customWidth="1"/>
    <col min="11" max="11" width="14.83203125" customWidth="1"/>
    <col min="12" max="12" width="10.83203125" customWidth="1"/>
    <col min="13" max="13" width="14.83203125" customWidth="1"/>
    <col min="14" max="14" width="10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40.83203125" customWidth="1"/>
    <col min="20" max="20" width="40.83203125" customWidth="1"/>
    <col min="21" max="21" width="12.83203125" customWidth="1"/>
    <col min="22" max="22" width="14.83203125" customWidth="1"/>
    <col min="23" max="23" width="14.83203125" customWidth="1"/>
  </cols>
  <sheetData>
    <row r="1" xml:space="preserve">
      <c r="A1" t="str">
        <v>序号</v>
      </c>
      <c r="B1" t="str">
        <v>分类</v>
      </c>
      <c r="C1" t="str">
        <v>应用分类</v>
      </c>
      <c r="D1" t="str">
        <v>涉及外部客户</v>
      </c>
      <c r="E1" t="str">
        <v>影响度</v>
      </c>
      <c r="F1" t="str">
        <v>紧急性</v>
      </c>
      <c r="G1" t="str">
        <v>优先级</v>
      </c>
      <c r="H1" t="str">
        <v>问题/需求描述</v>
      </c>
      <c r="I1" t="str">
        <v>根本原因分析/需求分析</v>
      </c>
      <c r="J1" t="str">
        <v>提出公司/职能中心</v>
      </c>
      <c r="K1" t="str">
        <v>提出部门</v>
      </c>
      <c r="L1" t="str">
        <v>提出人</v>
      </c>
      <c r="M1" t="str" xml:space="preserve">
        <v xml:space="preserve">提出时间
(YYYY/MM/DD)</v>
      </c>
      <c r="N1" t="str">
        <v>处理人</v>
      </c>
      <c r="O1" t="str" xml:space="preserve">
        <v xml:space="preserve">处理状态
(未解决/已解决)</v>
      </c>
      <c r="P1" t="str" xml:space="preserve">
        <v xml:space="preserve">响应时间
(YYYY/MM/DD)</v>
      </c>
      <c r="Q1" t="str" xml:space="preserve">
        <v xml:space="preserve">计划完成时间
(YYYY/MM/DD)</v>
      </c>
      <c r="R1" t="str" xml:space="preserve">
        <v xml:space="preserve">实际完成时间
(YYYY/MM/DD)</v>
      </c>
      <c r="S1" t="str">
        <v>处理方式/最终结果</v>
      </c>
      <c r="T1" t="str">
        <v>备注</v>
      </c>
      <c r="U1" t="str" xml:space="preserve">
        <v xml:space="preserve">响应持续时间
(Days)</v>
      </c>
      <c r="V1" t="str" xml:space="preserve">
        <v xml:space="preserve">计划完成-实际完成
(Days)</v>
      </c>
      <c r="W1" t="str" xml:space="preserve">
        <v xml:space="preserve">实际完成持续时间
(Days)</v>
      </c>
    </row>
    <row r="2">
      <c r="A2">
        <v>1</v>
      </c>
      <c r="B2" t="str">
        <v>02-Incident</v>
      </c>
      <c r="C2" t="str">
        <v>01-MES</v>
      </c>
      <c r="D2" t="str">
        <v>A01-All</v>
      </c>
      <c r="E2" t="str">
        <v>20-中</v>
      </c>
      <c r="F2" t="str">
        <v>10-高</v>
      </c>
      <c r="G2" t="str">
        <v/>
      </c>
      <c r="H2" t="str">
        <v>三厂小簧-设备数采-数采部署与设备参数提供</v>
      </c>
      <c r="I2" t="str">
        <v>【9-7数采专题会更新】数采专题会(9/7)对齐数采现状确认4项待办：①已定IO采集设备再次联系设备厂商复核——确证无法系统对接、仅能走IO采集，截止9/10前；②数据点位地址未提供的继续沟通给出，截止9/10前；③统计缺/多余天枢设备（待IO采集确认事项定下后才能确定），现明确需增6台（在此前基础上不变）；④IO采集设备数量确定后最终决定是否做IO采集（单IO盒4000+，现IO采集仅能采准备状态）。【9-1更新】与樊正毅整理数采现况：设备总数106台；数据点位已提供37台(后续鼎捷安装调试)；未提供69台(后续樊正毅联系厂家确认点位/方案/是否IO采集)；需采购IO盒23台；IO采集+通电11台；需IO采集设备共34台；剩余需安装鼎捷天枢控制器+调试26台；仅需调试80台；其他0台。原【8-19协同会更新】数采9月底前完成+1周联调再上监控（鼎捷）。原：数采盒子整体109个部署中，截止8-11累计安装65个（剩余44个，进度60%，数采方张亚雄）【8-27更新】陈宇喊话樊正毅确认IO盒装否：小簧未安装点位是否都需IO盒待确定——要装→樊正毅方对接解决/IT购买IO盒；不装→给准话仅将已装点位调试OK。等待樊正毅准话。</v>
      </c>
      <c r="J2" t="str">
        <v>04-诸暨3厂</v>
      </c>
      <c r="K2" t="str">
        <v>设备数采</v>
      </c>
      <c r="L2" t="str">
        <v/>
      </c>
      <c r="M2" t="str">
        <v>2026-07-07</v>
      </c>
      <c r="N2" t="str">
        <v/>
      </c>
      <c r="O2" t="str">
        <v/>
      </c>
      <c r="P2" t="str">
        <v>2026-07-07</v>
      </c>
      <c r="Q2" t="str">
        <v>2026-08-31</v>
      </c>
      <c r="R2" t="str">
        <v/>
      </c>
      <c r="S2" t="str">
        <v>数采10个安装完成+部署协助完成（倒角机参数已提供）</v>
      </c>
      <c r="T2" t="str">
        <v>进度 65；T-8bf07fdaa8</v>
      </c>
      <c r="U2" t="str">
        <v/>
      </c>
      <c r="V2" t="str">
        <v/>
      </c>
      <c r="W2" t="str">
        <v/>
      </c>
    </row>
    <row r="3">
      <c r="A3">
        <v>2</v>
      </c>
      <c r="B3" t="str">
        <v>04-Request</v>
      </c>
      <c r="C3" t="str">
        <v>01-MES</v>
      </c>
      <c r="D3" t="str">
        <v>A01-All</v>
      </c>
      <c r="E3" t="str">
        <v>20-中</v>
      </c>
      <c r="F3" t="str">
        <v>30-低</v>
      </c>
      <c r="G3" t="str">
        <v/>
      </c>
      <c r="H3" t="str">
        <v>一厂大簧-工单管理-流转卡二维码修改</v>
      </c>
      <c r="I3" t="str">
        <v>9/11更新：流转卡二维码已改小；搜索栏改为生产批号已提给开发，由于陆总尚未同意合同签字，延期；IT部反馈已经在签字流程中。</v>
      </c>
      <c r="J3" t="str">
        <v>02-诸暨1厂</v>
      </c>
      <c r="K3" t="str">
        <v>工单管理</v>
      </c>
      <c r="L3" t="str">
        <v/>
      </c>
      <c r="M3" t="str">
        <v>2026-07-22</v>
      </c>
      <c r="N3" t="str">
        <v/>
      </c>
      <c r="O3" t="str">
        <v/>
      </c>
      <c r="P3" t="str">
        <v>2026-07-22</v>
      </c>
      <c r="Q3" t="str">
        <v>2026-07-27</v>
      </c>
      <c r="R3" t="str">
        <v>2026-07-23</v>
      </c>
      <c r="S3" t="str">
        <v>流转卡二维码尺寸减小、信息改批号、进出站改输入批号</v>
      </c>
      <c r="T3" t="str">
        <v>进度 100；T-a607457699</v>
      </c>
      <c r="U3" t="str">
        <v/>
      </c>
      <c r="V3" t="str">
        <v/>
      </c>
      <c r="W3" t="str">
        <v/>
      </c>
    </row>
    <row r="4">
      <c r="A4">
        <v>3</v>
      </c>
      <c r="B4" t="str">
        <v>02-Incident</v>
      </c>
      <c r="C4" t="str">
        <v>01-MES</v>
      </c>
      <c r="D4" t="str">
        <v>A01-All</v>
      </c>
      <c r="E4" t="str">
        <v>20-中</v>
      </c>
      <c r="F4" t="str">
        <v>20-中</v>
      </c>
      <c r="G4" t="str">
        <v/>
      </c>
      <c r="H4" t="str">
        <v>一厂大簧-物料管控-计划下放后改物料/外来条码上料卡控</v>
      </c>
      <c r="I4" t="str">
        <v>8/5 周会确认：上料卡控问题包括①加急单插单导致物料被占用 ②外加工材料条码不匹配 ③同一批号多工单 ④工单料号变更 ⑤BOM 物料单重不符。解决方案：取消发料条码卡控，只卡材料批号。郑少青经理反馈方案测试中。</v>
      </c>
      <c r="J4" t="str">
        <v>02-诸暨1厂</v>
      </c>
      <c r="K4" t="str">
        <v>物料管控</v>
      </c>
      <c r="L4" t="str">
        <v/>
      </c>
      <c r="M4" t="str">
        <v>2026-07-22</v>
      </c>
      <c r="N4" t="str">
        <v/>
      </c>
      <c r="O4" t="str">
        <v/>
      </c>
      <c r="P4" t="str">
        <v>2026-07-22</v>
      </c>
      <c r="Q4" t="str">
        <v>2026-07-29</v>
      </c>
      <c r="R4" t="str">
        <v/>
      </c>
      <c r="S4" t="str">
        <v>计划下放后再改物料/外来条码工单可正常上料</v>
      </c>
      <c r="T4" t="str">
        <v>进度 90；T-df9009dfcd</v>
      </c>
      <c r="U4" t="str">
        <v/>
      </c>
      <c r="V4" t="str">
        <v/>
      </c>
      <c r="W4" t="str">
        <v/>
      </c>
    </row>
    <row r="5">
      <c r="A5">
        <v>4</v>
      </c>
      <c r="B5" t="str">
        <v>01-Task</v>
      </c>
      <c r="C5" t="str">
        <v>01-MES</v>
      </c>
      <c r="D5" t="str">
        <v>A01-All</v>
      </c>
      <c r="E5" t="str">
        <v>20-中</v>
      </c>
      <c r="F5" t="str">
        <v>30-低</v>
      </c>
      <c r="G5" t="str">
        <v/>
      </c>
      <c r="H5" t="str">
        <v>一厂大簧-设备维保-售后维修系统上线落地</v>
      </c>
      <c r="I5" t="str">
        <v>9/9周会新增待办：设备部人员需及时响应设备报修提单，持续跟踪后续新保修单（责任人孟铁军，协助黎建伟）。</v>
      </c>
      <c r="J5" t="str">
        <v>02-诸暨1厂</v>
      </c>
      <c r="K5" t="str">
        <v>设备维保</v>
      </c>
      <c r="L5" t="str">
        <v/>
      </c>
      <c r="M5" t="str">
        <v>2026-08-11</v>
      </c>
      <c r="N5" t="str">
        <v/>
      </c>
      <c r="O5" t="str">
        <v/>
      </c>
      <c r="P5" t="str">
        <v>2026-08-11</v>
      </c>
      <c r="Q5" t="str">
        <v/>
      </c>
      <c r="R5" t="str">
        <v/>
      </c>
      <c r="S5" t="str">
        <v>参会师傅全部下载安装应用+完成模拟工单测试+IT一对一支持结束</v>
      </c>
      <c r="T5" t="str">
        <v>进度 80；T-08410c18db</v>
      </c>
      <c r="U5" t="str">
        <v/>
      </c>
      <c r="V5" t="str">
        <v/>
      </c>
      <c r="W5" t="str">
        <v/>
      </c>
    </row>
    <row r="6" xml:space="preserve">
      <c r="A6">
        <v>5</v>
      </c>
      <c r="B6" t="str">
        <v>04-Request</v>
      </c>
      <c r="C6" t="str">
        <v>01-MES</v>
      </c>
      <c r="D6" t="str">
        <v>A01-All</v>
      </c>
      <c r="E6" t="str">
        <v>20-中</v>
      </c>
      <c r="F6" t="str">
        <v>30-低</v>
      </c>
      <c r="G6" t="str">
        <v/>
      </c>
      <c r="H6" t="str">
        <v>三厂小簧sMES-系统管理-模拟测试计划制定（王红烨列计划，不绑工作台采购）</v>
      </c>
      <c r="I6" t="str" xml:space="preserve">
        <v xml:space="preserve">【8-19协同会更新】全流程模拟正式定档2026-09-07(周一)至09-11(周五)，用实际生产工单验证完整流程IQC→派工→打印派工单→制样→报工→PQC→完工→量产流程→入库。模拟方案V1.0由姜皓翊/谢经理8-21前制定，王红烨8-24前重排项目计划表。原：8-18三厂小簧MES项目群@王红烨列模拟测试计划=IT配合+用户配合+环境准备+卡点
【8-20待办清单更新】按9/7模拟重排项目计划（王红烨8-24）。
8-21 实施计划表 v2.0（重排，按 9/7 模拟节点）已提前到位：机制流程规划已完成→流程验证 8-19~9-30→模拟 9/7-11→试运行 9/12-30→上线 10/12-11/6→大屏 10/19→成果报告会 11/30；知识卡 K-009</v>
      </c>
      <c r="J6" t="str">
        <v>04-诸暨3厂</v>
      </c>
      <c r="K6" t="str">
        <v>系统管理</v>
      </c>
      <c r="L6" t="str">
        <v/>
      </c>
      <c r="M6" t="str">
        <v>2026-08-18</v>
      </c>
      <c r="N6" t="str">
        <v/>
      </c>
      <c r="O6" t="str">
        <v/>
      </c>
      <c r="P6" t="str">
        <v>2026-08-18</v>
      </c>
      <c r="Q6" t="str">
        <v>2026-08-24</v>
      </c>
      <c r="R6" t="str">
        <v>2026-08-21</v>
      </c>
      <c r="S6" t="str">
        <v>王红烨提交模拟测试计划（IT/用户配合事项、环境准备、卡点清单），模拟测试推进不受工作台采购进度绑定</v>
      </c>
      <c r="T6" t="str">
        <v>进度 100；T-4a08419547</v>
      </c>
      <c r="U6" t="str">
        <v/>
      </c>
      <c r="V6" t="str">
        <v/>
      </c>
      <c r="W6" t="str">
        <v/>
      </c>
    </row>
    <row r="7">
      <c r="A7">
        <v>6</v>
      </c>
      <c r="B7" t="str">
        <v>04-Request</v>
      </c>
      <c r="C7" t="str">
        <v>01-MES</v>
      </c>
      <c r="D7" t="str">
        <v>A01-All</v>
      </c>
      <c r="E7" t="str">
        <v>20-中</v>
      </c>
      <c r="F7" t="str">
        <v>10-高</v>
      </c>
      <c r="G7" t="str">
        <v/>
      </c>
      <c r="H7" t="str">
        <v>三厂小簧-模拟测试-全流程模拟仿真执行（9/7-9/11）</v>
      </c>
      <c r="I7" t="str">
        <v>9/11更新：模拟执行中。制样审批完成后生成量产批需重新打印流程卡，打印执行人员暂定为首道工序组长。硬件尚未全部到位（支架、PDA、平板、工控机）。</v>
      </c>
      <c r="J7" t="str">
        <v>04-诸暨3厂</v>
      </c>
      <c r="K7" t="str">
        <v>模拟测试</v>
      </c>
      <c r="L7" t="str">
        <v/>
      </c>
      <c r="M7" t="str">
        <v>2026-08-19</v>
      </c>
      <c r="N7" t="str">
        <v/>
      </c>
      <c r="O7" t="str">
        <v/>
      </c>
      <c r="P7" t="str">
        <v>2026-08-19</v>
      </c>
      <c r="Q7" t="str">
        <v>2026-09-11</v>
      </c>
      <c r="R7" t="str">
        <v/>
      </c>
      <c r="S7" t="str">
        <v>用实际生产工单验证完整流程：IQC→派工→打印派工单→制样→报工→PQC→完工→量产流程→入库，全程按模拟剧本执行；每日模拟结束产出模拟数据分析报告</v>
      </c>
      <c r="T7" t="str">
        <v>进度 10；T-0aea03fd35</v>
      </c>
      <c r="U7" t="str">
        <v/>
      </c>
      <c r="V7" t="str">
        <v/>
      </c>
      <c r="W7" t="str">
        <v/>
      </c>
    </row>
    <row r="8">
      <c r="A8">
        <v>7</v>
      </c>
      <c r="B8" t="str">
        <v>04-Request</v>
      </c>
      <c r="C8" t="str">
        <v>01-MES</v>
      </c>
      <c r="D8" t="str">
        <v>A01-All</v>
      </c>
      <c r="E8" t="str">
        <v>20-中</v>
      </c>
      <c r="F8" t="str">
        <v>20-中</v>
      </c>
      <c r="G8" t="str">
        <v/>
      </c>
      <c r="H8" t="str">
        <v>三厂小簧-质量/设备-点检资料整理与导入（模拟前置）</v>
      </c>
      <c r="I8" t="str">
        <v>9/11更新：设备点检老MES基础资料尚未完成提供，影响导入和模拟验证。谢建寅提供点检表，8/31整理导入+9/1续整理导入，进行中。</v>
      </c>
      <c r="J8" t="str">
        <v>04-诸暨3厂</v>
      </c>
      <c r="K8" t="str">
        <v>质量/设备</v>
      </c>
      <c r="L8" t="str">
        <v/>
      </c>
      <c r="M8" t="str">
        <v>2026-08-20</v>
      </c>
      <c r="N8" t="str">
        <v/>
      </c>
      <c r="O8" t="str">
        <v/>
      </c>
      <c r="P8" t="str">
        <v>2026-08-20</v>
      </c>
      <c r="Q8" t="str">
        <v>2026-08-31</v>
      </c>
      <c r="R8" t="str">
        <v/>
      </c>
      <c r="S8" t="str">
        <v>点检资料整理初版(8-26)、补齐最终版(8-29)、导入准备(8-31)，9/7模拟前完成</v>
      </c>
      <c r="T8" t="str">
        <v>进度 50；T-098b6928ed</v>
      </c>
      <c r="U8" t="str">
        <v/>
      </c>
      <c r="V8" t="str">
        <v/>
      </c>
      <c r="W8" t="str">
        <v/>
      </c>
    </row>
    <row r="9">
      <c r="A9">
        <v>8</v>
      </c>
      <c r="B9" t="str">
        <v>02-Incident</v>
      </c>
      <c r="C9" t="str">
        <v>01-MES</v>
      </c>
      <c r="D9" t="str">
        <v>A01-All</v>
      </c>
      <c r="E9" t="str">
        <v>30-低</v>
      </c>
      <c r="F9" t="str">
        <v>20-中</v>
      </c>
      <c r="G9" t="str">
        <v/>
      </c>
      <c r="H9" t="str">
        <v>一厂大簧数采网络的推进启动</v>
      </c>
      <c r="I9" t="str">
        <v>9/11更新：数采盒完成13个，还剩17个。采集点位确认还未完成。一共30台，20台可采，10台温控仪表操作手册缺失导致无法数采。</v>
      </c>
      <c r="J9" t="str">
        <v>02-诸暨1厂</v>
      </c>
      <c r="K9" t="str">
        <v>IT管理部</v>
      </c>
      <c r="L9" t="str">
        <v/>
      </c>
      <c r="M9" t="str">
        <v>2026-08-25</v>
      </c>
      <c r="N9" t="str">
        <v/>
      </c>
      <c r="O9" t="str">
        <v/>
      </c>
      <c r="P9" t="str">
        <v>2026-08-25</v>
      </c>
      <c r="Q9" t="str">
        <v>2026-11-10</v>
      </c>
      <c r="R9" t="str">
        <v/>
      </c>
      <c r="S9" t="str">
        <v>完成安装调试和MES打通链条</v>
      </c>
      <c r="T9" t="str">
        <v>进度 30；T-867e70e83e</v>
      </c>
      <c r="U9" t="str">
        <v/>
      </c>
      <c r="V9" t="str">
        <v/>
      </c>
      <c r="W9" t="str">
        <v/>
      </c>
    </row>
    <row r="10">
      <c r="A10">
        <v>9</v>
      </c>
      <c r="B10" t="str">
        <v>02-Incident</v>
      </c>
      <c r="C10" t="str">
        <v>01-MES</v>
      </c>
      <c r="D10" t="str">
        <v>A01-All</v>
      </c>
      <c r="E10" t="str">
        <v>20-中</v>
      </c>
      <c r="F10" t="str">
        <v>30-低</v>
      </c>
      <c r="G10" t="str">
        <v/>
      </c>
      <c r="H10" t="str">
        <v>一厂大簧-设备二维码设计粘贴</v>
      </c>
      <c r="I10" t="str">
        <v>9/9 周会确认：卷簧、磨面已贴；下周拉出已张贴设备二维码进行点检率统计。责任人黎建伟，截止 9/30。</v>
      </c>
      <c r="J10" t="str">
        <v>02-诸暨1厂</v>
      </c>
      <c r="K10" t="str">
        <v>IT管理部</v>
      </c>
      <c r="L10" t="str">
        <v/>
      </c>
      <c r="M10" t="str">
        <v>2026-08-26</v>
      </c>
      <c r="N10" t="str">
        <v/>
      </c>
      <c r="O10" t="str">
        <v/>
      </c>
      <c r="P10" t="str">
        <v>2026-08-26</v>
      </c>
      <c r="Q10" t="str">
        <v>2026-09-01</v>
      </c>
      <c r="R10" t="str">
        <v/>
      </c>
      <c r="S10" t="str">
        <v>设备二维码设计并张贴完毕，设备点检与维保流程正式启动</v>
      </c>
      <c r="T10" t="str">
        <v>进度 80；T-e221e0264d</v>
      </c>
      <c r="U10" t="str">
        <v/>
      </c>
      <c r="V10" t="str">
        <v/>
      </c>
      <c r="W10" t="str">
        <v/>
      </c>
    </row>
    <row r="11">
      <c r="A11">
        <v>10</v>
      </c>
      <c r="B11" t="str">
        <v>01-Task</v>
      </c>
      <c r="C11" t="str">
        <v>01-MES</v>
      </c>
      <c r="D11" t="str">
        <v>A01-All</v>
      </c>
      <c r="E11" t="str">
        <v>20-中</v>
      </c>
      <c r="F11" t="str">
        <v>20-中</v>
      </c>
      <c r="G11" t="str">
        <v/>
      </c>
      <c r="H11" t="str">
        <v>一厂大簧-生产报工-新增二次复测力子工序</v>
      </c>
      <c r="I11" t="str">
        <v>9/9周会决议：压缩测力成品测力工序需要额外添加二次复测力子工序，可选择报工或跳过。责任人姜楠，预计9/9完成。</v>
      </c>
      <c r="J11" t="str">
        <v>02-诸暨1厂</v>
      </c>
      <c r="K11" t="str">
        <v>生产报工</v>
      </c>
      <c r="L11" t="str">
        <v/>
      </c>
      <c r="M11" t="str">
        <v>2026-09-09</v>
      </c>
      <c r="N11" t="str">
        <v/>
      </c>
      <c r="O11" t="str">
        <v/>
      </c>
      <c r="P11" t="str">
        <v>2026-09-09</v>
      </c>
      <c r="Q11" t="str">
        <v>2026-09-11</v>
      </c>
      <c r="R11" t="str">
        <v/>
      </c>
      <c r="S11" t="str">
        <v>成品测力工序支持可选择报工或跳过，二次复测力子工序配置完成</v>
      </c>
      <c r="T11" t="str">
        <v>进度 0；T-260911a</v>
      </c>
      <c r="U11" t="str">
        <v/>
      </c>
      <c r="V11" t="str">
        <v/>
      </c>
      <c r="W11" t="str">
        <v/>
      </c>
    </row>
    <row r="12">
      <c r="A12">
        <v>11</v>
      </c>
      <c r="B12" t="str">
        <v>01-Task</v>
      </c>
      <c r="C12" t="str">
        <v>01-MES</v>
      </c>
      <c r="D12" t="str">
        <v>A01-All</v>
      </c>
      <c r="E12" t="str">
        <v>20-中</v>
      </c>
      <c r="F12" t="str">
        <v>20-中</v>
      </c>
      <c r="G12" t="str">
        <v/>
      </c>
      <c r="H12" t="str">
        <v>一厂大簧-物料管控-一批号多工单上料问题解决方案评估</v>
      </c>
      <c r="I12" t="str">
        <v>9/11更新：与陆总沟通后，只管控批号不管控件号不符合质量追溯要求。外来料问题：郑经理已有具体方案，在U9中对外来料做入库和发料处理，9/10测试中。</v>
      </c>
      <c r="J12" t="str">
        <v>02-诸暨1厂</v>
      </c>
      <c r="K12" t="str">
        <v>物料管控</v>
      </c>
      <c r="L12" t="str">
        <v/>
      </c>
      <c r="M12" t="str">
        <v>2026-09-09</v>
      </c>
      <c r="N12" t="str">
        <v/>
      </c>
      <c r="O12" t="str">
        <v/>
      </c>
      <c r="P12" t="str">
        <v>2026-09-09</v>
      </c>
      <c r="Q12" t="str">
        <v>2026-09-11</v>
      </c>
      <c r="R12" t="str">
        <v/>
      </c>
      <c r="S12" t="str">
        <v>确认一批号多工单问题解决方案最终可行性</v>
      </c>
      <c r="T12" t="str">
        <v>进度 0；T-260911b</v>
      </c>
      <c r="U12" t="str">
        <v/>
      </c>
      <c r="V12" t="str">
        <v/>
      </c>
      <c r="W12" t="str">
        <v/>
      </c>
    </row>
    <row r="13">
      <c r="A13">
        <v>12</v>
      </c>
      <c r="B13" t="str">
        <v>01-Task</v>
      </c>
      <c r="C13" t="str">
        <v>01-MES</v>
      </c>
      <c r="D13" t="str">
        <v>A01-All</v>
      </c>
      <c r="E13" t="str">
        <v>30-低</v>
      </c>
      <c r="F13" t="str">
        <v>10-高</v>
      </c>
      <c r="G13" t="str">
        <v/>
      </c>
      <c r="H13" t="str">
        <v>一厂大簧-生产报工-优化报工逻辑支持跨厂区工单进出站</v>
      </c>
      <c r="I13" t="str">
        <v>9/9周会：二厂工单转移至一厂生产无法报工问题。需修改工单报工逻辑，在待进站页面不显示非本厂区工单，但扫描工单二维码后可以对非本厂工地进行进出站报工。责任人姜楠，预计9/18完成。</v>
      </c>
      <c r="J13" t="str">
        <v>02-诸暨1厂</v>
      </c>
      <c r="K13" t="str">
        <v>生产报工</v>
      </c>
      <c r="L13" t="str">
        <v/>
      </c>
      <c r="M13" t="str">
        <v>2026-09-09</v>
      </c>
      <c r="N13" t="str">
        <v/>
      </c>
      <c r="O13" t="str">
        <v/>
      </c>
      <c r="P13" t="str">
        <v>2026-09-09</v>
      </c>
      <c r="Q13" t="str">
        <v>2026-09-18</v>
      </c>
      <c r="R13" t="str">
        <v/>
      </c>
      <c r="S13" t="str">
        <v>待进站页面不显示非本厂区工单，但扫描工单二维码后可对非本厂工地进行进出站报工</v>
      </c>
      <c r="T13" t="str">
        <v>进度 0；T-260911c</v>
      </c>
      <c r="U13" t="str">
        <v/>
      </c>
      <c r="V13" t="str">
        <v/>
      </c>
      <c r="W13" t="str">
        <v/>
      </c>
    </row>
    <row r="14">
      <c r="A14">
        <v>13</v>
      </c>
      <c r="B14" t="str">
        <v>02-Incident</v>
      </c>
      <c r="C14" t="str">
        <v>01-MES</v>
      </c>
      <c r="D14" t="str">
        <v>A01-All</v>
      </c>
      <c r="E14" t="str">
        <v>20-中</v>
      </c>
      <c r="F14" t="str">
        <v>20-中</v>
      </c>
      <c r="G14" t="str">
        <v/>
      </c>
      <c r="H14" t="str">
        <v>三厂小簧-质量模块-核对未绑定设备资源的工序</v>
      </c>
      <c r="I14" t="str">
        <v>部分工序（同心度分选、内外径分选、成品检验、周期性检验）未绑定设备资源，需核实有无实体生产设备，若无则需设定虚拟设备执行报工。</v>
      </c>
      <c r="J14" t="str">
        <v>04-诸暨3厂</v>
      </c>
      <c r="K14" t="str">
        <v>质量模块</v>
      </c>
      <c r="L14" t="str">
        <v/>
      </c>
      <c r="M14" t="str">
        <v>2026-09-11</v>
      </c>
      <c r="N14" t="str">
        <v/>
      </c>
      <c r="O14" t="str">
        <v/>
      </c>
      <c r="P14" t="str">
        <v>2026-09-11</v>
      </c>
      <c r="Q14" t="str">
        <v>2026-09-15</v>
      </c>
      <c r="R14" t="str">
        <v/>
      </c>
      <c r="S14" t="str">
        <v>所有工序已绑定设备资源（含虚拟设备）</v>
      </c>
      <c r="T14" t="str">
        <v>进度 0；T-918bed83183c</v>
      </c>
      <c r="U14" t="str">
        <v/>
      </c>
      <c r="V14" t="str">
        <v/>
      </c>
      <c r="W14" t="str">
        <v/>
      </c>
    </row>
    <row r="15">
      <c r="A15">
        <v>14</v>
      </c>
      <c r="B15" t="str">
        <v>02-Incident</v>
      </c>
      <c r="C15" t="str">
        <v>01-MES</v>
      </c>
      <c r="D15" t="str">
        <v>A01-All</v>
      </c>
      <c r="E15" t="str">
        <v>20-中</v>
      </c>
      <c r="F15" t="str">
        <v>20-中</v>
      </c>
      <c r="G15" t="str">
        <v/>
      </c>
      <c r="H15" t="str">
        <v>三厂小簧-设备管理-绑定作业站设备资源</v>
      </c>
      <c r="I15" t="str">
        <v>需根据工序清单绑定作业站设备资源，含虚拟设备设定。</v>
      </c>
      <c r="J15" t="str">
        <v>04-诸暨3厂</v>
      </c>
      <c r="K15" t="str">
        <v>设备管理</v>
      </c>
      <c r="L15" t="str">
        <v/>
      </c>
      <c r="M15" t="str">
        <v>2026-09-11</v>
      </c>
      <c r="N15" t="str">
        <v/>
      </c>
      <c r="O15" t="str">
        <v/>
      </c>
      <c r="P15" t="str">
        <v>2026-09-11</v>
      </c>
      <c r="Q15" t="str">
        <v>2026-09-17</v>
      </c>
      <c r="R15" t="str">
        <v/>
      </c>
      <c r="S15" t="str">
        <v>所有作业站已绑定设备资源</v>
      </c>
      <c r="T15" t="str">
        <v>进度 0；T-cbde5e817055</v>
      </c>
      <c r="U15" t="str">
        <v/>
      </c>
      <c r="V15" t="str">
        <v/>
      </c>
      <c r="W15" t="str">
        <v/>
      </c>
    </row>
    <row r="16">
      <c r="A16">
        <v>15</v>
      </c>
      <c r="B16" t="str">
        <v>02-Incident</v>
      </c>
      <c r="C16" t="str">
        <v>01-MES</v>
      </c>
      <c r="D16" t="str">
        <v>A01-All</v>
      </c>
      <c r="E16" t="str">
        <v>30-低</v>
      </c>
      <c r="F16" t="str">
        <v>20-中</v>
      </c>
      <c r="G16" t="str">
        <v/>
      </c>
      <c r="H16" t="str">
        <v>三厂小簧-培训-教会设备部维护设备基础数据</v>
      </c>
      <c r="I16" t="str">
        <v>需培训设备部人员掌握设备基础数据维护（点检、维保、记录查看）。</v>
      </c>
      <c r="J16" t="str">
        <v>04-诸暨3厂</v>
      </c>
      <c r="K16" t="str">
        <v>培训</v>
      </c>
      <c r="L16" t="str">
        <v/>
      </c>
      <c r="M16" t="str">
        <v>2026-09-11</v>
      </c>
      <c r="N16" t="str">
        <v/>
      </c>
      <c r="O16" t="str">
        <v/>
      </c>
      <c r="P16" t="str">
        <v>2026-09-11</v>
      </c>
      <c r="Q16" t="str">
        <v>2026-09-17</v>
      </c>
      <c r="R16" t="str">
        <v/>
      </c>
      <c r="S16" t="str">
        <v>设备部人员可独立维护设备点检、维保、记录查看</v>
      </c>
      <c r="T16" t="str">
        <v>进度 0；T-9f4959342e70</v>
      </c>
      <c r="U16" t="str">
        <v/>
      </c>
      <c r="V16" t="str">
        <v/>
      </c>
      <c r="W16" t="str">
        <v/>
      </c>
    </row>
    <row r="17">
      <c r="A17">
        <v>16</v>
      </c>
      <c r="B17" t="str">
        <v>02-Incident</v>
      </c>
      <c r="C17" t="str">
        <v>01-MES</v>
      </c>
      <c r="D17" t="str">
        <v>A01-All</v>
      </c>
      <c r="E17" t="str">
        <v>20-中</v>
      </c>
      <c r="F17" t="str">
        <v>20-中</v>
      </c>
      <c r="G17" t="str">
        <v/>
      </c>
      <c r="H17" t="str">
        <v>三厂小簧-权限配置-质量部生产任务中心权限</v>
      </c>
      <c r="I17" t="str">
        <v>需给质量部添加生产任务中心权限，便于发起巡检和执行成品检。（已完成）</v>
      </c>
      <c r="J17" t="str">
        <v>04-诸暨3厂</v>
      </c>
      <c r="K17" t="str">
        <v>权限配置</v>
      </c>
      <c r="L17" t="str">
        <v/>
      </c>
      <c r="M17" t="str">
        <v>2026-09-11</v>
      </c>
      <c r="N17" t="str">
        <v/>
      </c>
      <c r="O17" t="str">
        <v/>
      </c>
      <c r="P17" t="str">
        <v>2026-09-11</v>
      </c>
      <c r="Q17" t="str">
        <v>2026-09-14</v>
      </c>
      <c r="R17" t="str">
        <v>2026-09-14</v>
      </c>
      <c r="S17" t="str">
        <v>质量部人员已拥有生产任务中心权限，可发起巡检和执行成品检</v>
      </c>
      <c r="T17" t="str">
        <v>进度 100；T-24f1f9c10b50</v>
      </c>
      <c r="U17" t="str">
        <v/>
      </c>
      <c r="V17" t="str">
        <v/>
      </c>
      <c r="W17" t="str">
        <v/>
      </c>
    </row>
  </sheetData>
  <ignoredErrors>
    <ignoredError numberStoredAsText="1" sqref="A1:W17"/>
  </ignoredErrors>
  <dataValidations count="7">
    <dataValidation type="list" allowBlank="1" showDropDown="0" sqref="B2:B200">
      <formula1>'CAT'!$C$2:$C$6</formula1>
    </dataValidation>
    <dataValidation type="list" allowBlank="1" showDropDown="0" sqref="C2:C200">
      <formula1>'CAT'!$G$2:$G$10</formula1>
    </dataValidation>
    <dataValidation type="list" allowBlank="1" showDropDown="0" sqref="D2:D200">
      <formula1>'CAT'!$O$2:$O$15</formula1>
    </dataValidation>
    <dataValidation type="list" allowBlank="1" showDropDown="0" sqref="E2:E200">
      <formula1>'CAT'!$W$2:$W$4</formula1>
    </dataValidation>
    <dataValidation type="list" allowBlank="1" showDropDown="0" sqref="F2:F200">
      <formula1>'CAT'!$AA$2:$AA$4</formula1>
    </dataValidation>
    <dataValidation type="list" allowBlank="1" showDropDown="0" sqref="J2:J200">
      <formula1>'CAT'!$K$2:$K$27</formula1>
    </dataValidation>
    <dataValidation type="list" allowBlank="1" showDropDown="0" sqref="O2:O200">
      <formula1>'CAT'!$S$2:$S$12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34.83203125" customWidth="1"/>
    <col min="5" max="5" width="6.83203125" customWidth="1"/>
    <col min="6" max="6" width="12.83203125" customWidth="1"/>
    <col min="7" max="7" width="12.83203125" customWidth="1"/>
    <col min="8" max="8" width="8.83203125" customWidth="1"/>
    <col min="9" max="9" width="6.83203125" customWidth="1"/>
    <col min="10" max="10" width="12.83203125" customWidth="1"/>
    <col min="11" max="11" width="12.83203125" customWidth="1"/>
    <col min="12" max="12" width="10.83203125" customWidth="1"/>
    <col min="13" max="13" width="6.83203125" customWidth="1"/>
    <col min="14" max="14" width="12.83203125" customWidth="1"/>
    <col min="15" max="15" width="14.83203125" customWidth="1"/>
    <col min="16" max="16" width="10.83203125" customWidth="1"/>
    <col min="17" max="17" width="6.83203125" customWidth="1"/>
    <col min="18" max="18" width="16.83203125" customWidth="1"/>
    <col min="19" max="19" width="16.83203125" customWidth="1"/>
    <col min="20" max="20" width="8.83203125" customWidth="1"/>
    <col min="21" max="21" width="6.83203125" customWidth="1"/>
    <col min="22" max="22" width="9.83203125" customWidth="1"/>
    <col min="23" max="23" width="11.83203125" customWidth="1"/>
    <col min="24" max="24" width="8.83203125" customWidth="1"/>
    <col min="25" max="25" width="6.83203125" customWidth="1"/>
    <col min="26" max="26" width="9.83203125" customWidth="1"/>
    <col min="27" max="27" width="11.83203125" customWidth="1"/>
    <col min="28" max="28" width="8.83203125" customWidth="1"/>
  </cols>
  <sheetData>
    <row r="1">
      <c r="A1" t="str">
        <v>No1</v>
      </c>
      <c r="B1" t="str">
        <v>Category</v>
      </c>
      <c r="C1" t="str">
        <v>Category_Excel</v>
      </c>
      <c r="D1" t="str">
        <v>Comment1</v>
      </c>
      <c r="E1" t="str">
        <v>No2</v>
      </c>
      <c r="F1" t="str">
        <v>App</v>
      </c>
      <c r="G1" t="str">
        <v>App_Excel</v>
      </c>
      <c r="H1" t="str">
        <v>Comment2</v>
      </c>
      <c r="I1" t="str">
        <v>No3</v>
      </c>
      <c r="J1" t="str">
        <v>Company</v>
      </c>
      <c r="K1" t="str">
        <v>Company_Excel</v>
      </c>
      <c r="L1" t="str">
        <v>Comment3</v>
      </c>
      <c r="M1" t="str">
        <v>No4</v>
      </c>
      <c r="N1" t="str">
        <v>Customer</v>
      </c>
      <c r="O1" t="str">
        <v>Customer_Excel</v>
      </c>
      <c r="P1" t="str">
        <v>Comment4</v>
      </c>
      <c r="Q1" t="str">
        <v>No5</v>
      </c>
      <c r="R1" t="str">
        <v>Status</v>
      </c>
      <c r="S1" t="str">
        <v>Status_Excel</v>
      </c>
      <c r="T1" t="str">
        <v>Comment5</v>
      </c>
      <c r="U1" t="str">
        <v>No6</v>
      </c>
      <c r="V1" t="str">
        <v>影响度</v>
      </c>
      <c r="W1" t="str">
        <v>Impact_Excel</v>
      </c>
      <c r="X1" t="str">
        <v>Comment6</v>
      </c>
      <c r="Y1" t="str">
        <v>No7</v>
      </c>
      <c r="Z1" t="str">
        <v>紧急性</v>
      </c>
      <c r="AA1" t="str">
        <v>Urgency_Excel</v>
      </c>
      <c r="AB1" t="str">
        <v>Comment7</v>
      </c>
    </row>
    <row r="2">
      <c r="A2" t="str">
        <v>01</v>
      </c>
      <c r="B2" t="str">
        <v>Task</v>
      </c>
      <c r="C2" t="str">
        <v>01-Task</v>
      </c>
      <c r="D2" t="str">
        <v>任务（安装软件、布线、调试终端设备等等）</v>
      </c>
      <c r="E2" t="str">
        <v>01</v>
      </c>
      <c r="F2" t="str">
        <v>MES</v>
      </c>
      <c r="G2" t="str">
        <v>01-MES</v>
      </c>
      <c r="I2" t="str">
        <v>01</v>
      </c>
      <c r="J2" t="str">
        <v>集团</v>
      </c>
      <c r="K2" t="str">
        <v>01-集团</v>
      </c>
      <c r="L2" t="str">
        <v>职能中心</v>
      </c>
      <c r="M2" t="str">
        <v>D01</v>
      </c>
      <c r="N2" t="str">
        <v>Lixiang</v>
      </c>
      <c r="O2" t="str">
        <v>D01-Lixiang</v>
      </c>
      <c r="P2" t="str">
        <v>理想</v>
      </c>
      <c r="Q2" t="str">
        <v>11</v>
      </c>
      <c r="R2" t="str">
        <v>提出-业务澄清</v>
      </c>
      <c r="S2" t="str">
        <v>11-提出-业务澄清</v>
      </c>
      <c r="U2" t="str">
        <v>10</v>
      </c>
      <c r="V2" t="str">
        <v>高</v>
      </c>
      <c r="W2" t="str">
        <v>10-高</v>
      </c>
      <c r="Y2" t="str">
        <v>10</v>
      </c>
      <c r="Z2" t="str">
        <v>高</v>
      </c>
      <c r="AA2" t="str">
        <v>10-高</v>
      </c>
    </row>
    <row r="3">
      <c r="A3" t="str">
        <v>02</v>
      </c>
      <c r="B3" t="str">
        <v>Incident</v>
      </c>
      <c r="C3" t="str">
        <v>02-Incident</v>
      </c>
      <c r="D3" t="str">
        <v>故障（系统问题、应用卡顿等等）</v>
      </c>
      <c r="E3" t="str">
        <v>02</v>
      </c>
      <c r="F3" t="str">
        <v>U9C</v>
      </c>
      <c r="G3" t="str">
        <v>02-U9C</v>
      </c>
      <c r="I3" t="str">
        <v>02</v>
      </c>
      <c r="J3" t="str">
        <v>诸暨1厂</v>
      </c>
      <c r="K3" t="str">
        <v>02-诸暨1厂</v>
      </c>
      <c r="M3" t="str">
        <v>D02</v>
      </c>
      <c r="N3" t="str">
        <v>Weilai</v>
      </c>
      <c r="O3" t="str">
        <v>D02-Weilai</v>
      </c>
      <c r="P3" t="str">
        <v>蔚来</v>
      </c>
      <c r="Q3" t="str">
        <v>12</v>
      </c>
      <c r="R3" t="str">
        <v>提出-客户澄清</v>
      </c>
      <c r="S3" t="str">
        <v>12-提出-客户澄清</v>
      </c>
      <c r="U3" t="str">
        <v>20</v>
      </c>
      <c r="V3" t="str">
        <v>中</v>
      </c>
      <c r="W3" t="str">
        <v>20-中</v>
      </c>
      <c r="Y3" t="str">
        <v>20</v>
      </c>
      <c r="Z3" t="str">
        <v>中</v>
      </c>
      <c r="AA3" t="str">
        <v>20-中</v>
      </c>
    </row>
    <row r="4">
      <c r="A4" t="str">
        <v>03</v>
      </c>
      <c r="B4" t="str">
        <v>Problem</v>
      </c>
      <c r="C4" t="str">
        <v>03-Problem</v>
      </c>
      <c r="D4" t="str">
        <v>问题（疑难杂症，短期无法处理）</v>
      </c>
      <c r="E4" t="str">
        <v>03</v>
      </c>
      <c r="F4" t="str">
        <v>WMS</v>
      </c>
      <c r="G4" t="str">
        <v>03-WMS</v>
      </c>
      <c r="I4" t="str">
        <v>03</v>
      </c>
      <c r="J4" t="str">
        <v>诸暨2厂</v>
      </c>
      <c r="K4" t="str">
        <v>03-诸暨2厂</v>
      </c>
      <c r="M4" t="str">
        <v>D03</v>
      </c>
      <c r="N4" t="str">
        <v>Xiaopeng</v>
      </c>
      <c r="O4" t="str">
        <v>D03-Xiaopeng</v>
      </c>
      <c r="P4" t="str">
        <v>小鹏</v>
      </c>
      <c r="Q4" t="str">
        <v>13</v>
      </c>
      <c r="R4" t="str">
        <v>提出-其他澄清</v>
      </c>
      <c r="S4" t="str">
        <v>13-提出-其他澄清</v>
      </c>
      <c r="U4" t="str">
        <v>30</v>
      </c>
      <c r="V4" t="str">
        <v>低</v>
      </c>
      <c r="W4" t="str">
        <v>30-低</v>
      </c>
      <c r="Y4" t="str">
        <v>30</v>
      </c>
      <c r="Z4" t="str">
        <v>低</v>
      </c>
      <c r="AA4" t="str">
        <v>30-低</v>
      </c>
    </row>
    <row r="5">
      <c r="A5" t="str">
        <v>04</v>
      </c>
      <c r="B5" t="str">
        <v>Request</v>
      </c>
      <c r="C5" t="str">
        <v>04-Request</v>
      </c>
      <c r="D5" t="str">
        <v>需求（新增软件功能、新增流程等等）</v>
      </c>
      <c r="E5" t="str">
        <v>04</v>
      </c>
      <c r="F5" t="str">
        <v>PLM</v>
      </c>
      <c r="G5" t="str">
        <v>04-PLM</v>
      </c>
      <c r="I5" t="str">
        <v>04</v>
      </c>
      <c r="J5" t="str">
        <v>诸暨3厂</v>
      </c>
      <c r="K5" t="str">
        <v>04-诸暨3厂</v>
      </c>
      <c r="M5" t="str">
        <v>D04</v>
      </c>
      <c r="N5" t="str">
        <v>Geely</v>
      </c>
      <c r="O5" t="str">
        <v>D04-Geely</v>
      </c>
      <c r="P5" t="str">
        <v>吉利</v>
      </c>
      <c r="Q5" t="str">
        <v>14</v>
      </c>
      <c r="R5" t="str">
        <v>提出-技术澄清</v>
      </c>
      <c r="S5" t="str">
        <v>14-提出-技术澄清</v>
      </c>
    </row>
    <row r="6">
      <c r="A6" t="str">
        <v>05</v>
      </c>
      <c r="B6" t="str">
        <v>Project</v>
      </c>
      <c r="C6" t="str">
        <v>05-Project</v>
      </c>
      <c r="D6" t="str">
        <v>项目（需要组建团队解决、或者长期资源解决）</v>
      </c>
      <c r="E6" t="str">
        <v>05</v>
      </c>
      <c r="F6" t="str">
        <v>Security</v>
      </c>
      <c r="G6" t="str">
        <v>05-Security</v>
      </c>
      <c r="I6" t="str">
        <v>05</v>
      </c>
      <c r="J6" t="str">
        <v>诸暨金晟</v>
      </c>
      <c r="K6" t="str">
        <v>05-诸暨金晟</v>
      </c>
      <c r="M6" t="str">
        <v>D05</v>
      </c>
      <c r="N6" t="str">
        <v>GreatWall</v>
      </c>
      <c r="O6" t="str">
        <v>D05-GreatWall</v>
      </c>
      <c r="P6" t="str">
        <v>长城</v>
      </c>
      <c r="Q6" t="str">
        <v>21</v>
      </c>
      <c r="R6" t="str">
        <v>接受</v>
      </c>
      <c r="S6" t="str">
        <v>21-接受</v>
      </c>
    </row>
    <row r="7">
      <c r="E7" t="str">
        <v>06</v>
      </c>
      <c r="F7" t="str">
        <v>Workplace</v>
      </c>
      <c r="G7" t="str">
        <v>06-Workplace</v>
      </c>
      <c r="I7" t="str">
        <v>06</v>
      </c>
      <c r="J7" t="str">
        <v>无锡弹簧</v>
      </c>
      <c r="K7" t="str">
        <v>06-无锡弹簧</v>
      </c>
      <c r="M7" t="str">
        <v>D06</v>
      </c>
      <c r="N7" t="str">
        <v>FAW</v>
      </c>
      <c r="O7" t="str">
        <v>D06-FAW</v>
      </c>
      <c r="P7" t="str">
        <v>一汽</v>
      </c>
      <c r="Q7" t="str">
        <v>31</v>
      </c>
      <c r="R7" t="str">
        <v>评估</v>
      </c>
      <c r="S7" t="str">
        <v>31-评估</v>
      </c>
    </row>
    <row r="8">
      <c r="E8" t="str">
        <v>07</v>
      </c>
      <c r="F8" t="str">
        <v>研发云</v>
      </c>
      <c r="G8" t="str">
        <v>07-研发云</v>
      </c>
      <c r="I8" t="str">
        <v>07</v>
      </c>
      <c r="J8" t="str">
        <v>重庆工厂</v>
      </c>
      <c r="K8" t="str">
        <v>07-重庆工厂</v>
      </c>
      <c r="M8" t="str">
        <v>I01</v>
      </c>
      <c r="N8" t="str">
        <v>Ford</v>
      </c>
      <c r="O8" t="str">
        <v>I01-Ford</v>
      </c>
      <c r="P8" t="str">
        <v>福特</v>
      </c>
      <c r="Q8" t="str">
        <v>41</v>
      </c>
      <c r="R8" t="str">
        <v>处理</v>
      </c>
      <c r="S8" t="str">
        <v>41-处理</v>
      </c>
    </row>
    <row r="9">
      <c r="E9" t="str">
        <v>08</v>
      </c>
      <c r="F9" t="str">
        <v>PDA</v>
      </c>
      <c r="G9" t="str">
        <v>08-PDA</v>
      </c>
      <c r="I9" t="str">
        <v>08</v>
      </c>
      <c r="J9" t="str">
        <v>南京工厂</v>
      </c>
      <c r="K9" t="str">
        <v>08-南京工厂</v>
      </c>
      <c r="M9" t="str">
        <v>I02</v>
      </c>
      <c r="N9" t="str">
        <v>Stellantis</v>
      </c>
      <c r="O9" t="str">
        <v>I02-Stellantis</v>
      </c>
      <c r="P9" t="str">
        <v>斯特兰蒂斯</v>
      </c>
      <c r="Q9" t="str">
        <v>51</v>
      </c>
      <c r="R9" t="str">
        <v>验证</v>
      </c>
      <c r="S9" t="str">
        <v>51-验证</v>
      </c>
    </row>
    <row r="10">
      <c r="E10" t="str">
        <v>09</v>
      </c>
      <c r="F10" t="str">
        <v>Network</v>
      </c>
      <c r="G10" t="str">
        <v>09-Network</v>
      </c>
      <c r="I10" t="str">
        <v>09</v>
      </c>
      <c r="J10" t="str">
        <v>河南工厂</v>
      </c>
      <c r="K10" t="str">
        <v>09-河南工厂</v>
      </c>
      <c r="M10" t="str">
        <v>I03</v>
      </c>
      <c r="N10" t="str">
        <v>BMW</v>
      </c>
      <c r="O10" t="str">
        <v>I03-BMW</v>
      </c>
      <c r="P10" t="str">
        <v>宝马</v>
      </c>
      <c r="Q10" t="str">
        <v>61</v>
      </c>
      <c r="R10" t="str">
        <v>关闭</v>
      </c>
      <c r="S10" t="str">
        <v>61-关闭</v>
      </c>
    </row>
    <row r="11">
      <c r="I11" t="str">
        <v>10</v>
      </c>
      <c r="J11" t="str">
        <v>德国工厂</v>
      </c>
      <c r="K11" t="str">
        <v>10-德国工厂</v>
      </c>
      <c r="M11" t="str">
        <v>I04</v>
      </c>
      <c r="N11" t="str">
        <v>VW</v>
      </c>
      <c r="O11" t="str">
        <v>I04-VW</v>
      </c>
      <c r="P11" t="str">
        <v>大众</v>
      </c>
      <c r="Q11" t="str">
        <v>65</v>
      </c>
      <c r="R11" t="str">
        <v>关闭-用户撤销</v>
      </c>
      <c r="S11" t="str">
        <v>65-关闭-用户撤销</v>
      </c>
    </row>
    <row r="12">
      <c r="I12" t="str">
        <v>11</v>
      </c>
      <c r="J12" t="str">
        <v>墨西哥工厂</v>
      </c>
      <c r="K12" t="str">
        <v>11-墨西哥工厂</v>
      </c>
      <c r="M12" t="str">
        <v>I05</v>
      </c>
      <c r="N12" t="str">
        <v>Volve</v>
      </c>
      <c r="O12" t="str">
        <v>I05-Volve</v>
      </c>
      <c r="P12" t="str">
        <v>沃尔沃</v>
      </c>
      <c r="Q12" t="str">
        <v>71</v>
      </c>
      <c r="R12" t="str">
        <v>其他</v>
      </c>
      <c r="S12" t="str">
        <v>71-其他</v>
      </c>
    </row>
    <row r="13">
      <c r="I13" t="str">
        <v>12</v>
      </c>
      <c r="J13" t="str">
        <v>摩洛哥工厂</v>
      </c>
      <c r="K13" t="str">
        <v>12-摩洛哥工厂</v>
      </c>
      <c r="M13" t="str">
        <v>A01</v>
      </c>
      <c r="N13" t="str">
        <v>All</v>
      </c>
      <c r="O13" t="str">
        <v>A01-All</v>
      </c>
      <c r="P13" t="str">
        <v>所有</v>
      </c>
    </row>
    <row r="14">
      <c r="I14" t="str">
        <v>A01</v>
      </c>
      <c r="J14" t="str">
        <v>All</v>
      </c>
      <c r="K14" t="str">
        <v>A01-All</v>
      </c>
      <c r="L14" t="str">
        <v>所有</v>
      </c>
      <c r="M14" t="str">
        <v>A02</v>
      </c>
      <c r="N14" t="str">
        <v>Domestic</v>
      </c>
      <c r="O14" t="str">
        <v>A02-Domestic</v>
      </c>
      <c r="P14" t="str">
        <v>国内所有</v>
      </c>
    </row>
    <row r="15">
      <c r="I15" t="str">
        <v>A02</v>
      </c>
      <c r="J15" t="str">
        <v>Domestic</v>
      </c>
      <c r="K15" t="str">
        <v>A02-Domestic</v>
      </c>
      <c r="L15" t="str">
        <v>国内所有</v>
      </c>
      <c r="M15" t="str">
        <v>A03</v>
      </c>
      <c r="N15" t="str">
        <v>International</v>
      </c>
      <c r="O15" t="str">
        <v>A03-International</v>
      </c>
      <c r="P15" t="str">
        <v>国际所有</v>
      </c>
    </row>
    <row r="16">
      <c r="I16" t="str">
        <v>A03</v>
      </c>
      <c r="J16" t="str">
        <v>International</v>
      </c>
      <c r="K16" t="str">
        <v>A03-International</v>
      </c>
      <c r="L16" t="str">
        <v>国际所有</v>
      </c>
    </row>
    <row r="17">
      <c r="I17" t="str">
        <v>A21</v>
      </c>
      <c r="J17" t="str">
        <v>Zhuji</v>
      </c>
      <c r="K17" t="str">
        <v>A21-Zhuji</v>
      </c>
      <c r="L17" t="str">
        <v>诸暨工厂</v>
      </c>
    </row>
    <row r="18">
      <c r="I18" t="str">
        <v>A22</v>
      </c>
      <c r="J18" t="str">
        <v>Non-Zhuji</v>
      </c>
      <c r="K18" t="str">
        <v>A22-Non-Zhuji</v>
      </c>
      <c r="L18" t="str">
        <v>国内非诸暨工厂</v>
      </c>
    </row>
    <row r="19">
      <c r="I19" t="str">
        <v>G21</v>
      </c>
      <c r="J19" t="str">
        <v>HRG</v>
      </c>
      <c r="K19" t="str">
        <v>G21-HRG</v>
      </c>
      <c r="L19" t="str">
        <v>集团HR</v>
      </c>
    </row>
    <row r="20">
      <c r="I20" t="str">
        <v>G22</v>
      </c>
      <c r="J20" t="str">
        <v>PRG</v>
      </c>
      <c r="K20" t="str">
        <v>G22-PRG</v>
      </c>
      <c r="L20" t="str">
        <v>集团采购</v>
      </c>
    </row>
    <row r="21">
      <c r="I21" t="str">
        <v>G23</v>
      </c>
      <c r="J21" t="str">
        <v>ITG</v>
      </c>
      <c r="K21" t="str">
        <v>G23-ITG</v>
      </c>
      <c r="L21" t="str">
        <v>集团IT</v>
      </c>
    </row>
    <row r="22">
      <c r="I22" t="str">
        <v>G24</v>
      </c>
      <c r="J22" t="str">
        <v>FTG</v>
      </c>
      <c r="K22" t="str">
        <v>G24-FTG</v>
      </c>
      <c r="L22" t="str">
        <v>集团财务</v>
      </c>
    </row>
    <row r="23">
      <c r="I23" t="str">
        <v>G25</v>
      </c>
      <c r="J23" t="str">
        <v>MGG</v>
      </c>
      <c r="K23" t="str">
        <v>G25-MGG</v>
      </c>
      <c r="L23" t="str">
        <v>集团运营</v>
      </c>
    </row>
    <row r="24">
      <c r="I24" t="str">
        <v>G26</v>
      </c>
      <c r="J24" t="str">
        <v>QMG</v>
      </c>
      <c r="K24" t="str">
        <v>G26-QMG</v>
      </c>
      <c r="L24" t="str">
        <v>集团质量</v>
      </c>
    </row>
    <row r="25">
      <c r="I25" t="str">
        <v>G27</v>
      </c>
      <c r="J25" t="str">
        <v>LOG</v>
      </c>
      <c r="K25" t="str">
        <v>G27-LOG</v>
      </c>
      <c r="L25" t="str">
        <v>集团物流</v>
      </c>
    </row>
  </sheetData>
  <ignoredErrors>
    <ignoredError numberStoredAsText="1" sqref="A1:A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CAT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