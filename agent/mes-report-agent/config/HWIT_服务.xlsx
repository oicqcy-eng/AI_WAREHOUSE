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56" windowHeight="13896"/>
  </bookViews>
  <sheets>
    <sheet name="IT" sheetId="2" r:id="rId1"/>
    <sheet name="CAT" sheetId="3" r:id="rId2"/>
    <sheet name="风险&amp;问题日志" sheetId="4" r:id="rId3"/>
    <sheet name="优先级矩阵" sheetId="6" r:id="rId4"/>
    <sheet name="影响度与紧急度定义" sheetId="7" r:id="rId5"/>
    <sheet name="优先级定义与SLA" sheetId="8" r:id="rId6"/>
    <sheet name="典型案例" sheetId="9" r:id="rId7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HMM１">#REF!</definedName>
    <definedName name="_HMM２">#REF!</definedName>
    <definedName name="_JMM１">#REF!</definedName>
    <definedName name="_JMM２">#REF!</definedName>
    <definedName name="_VER1">#REF!</definedName>
    <definedName name="aa">aa</definedName>
    <definedName name="AAA">AAA</definedName>
    <definedName name="Access_Button" hidden="1">"BugTBLU0_LMS11_List"</definedName>
    <definedName name="AccessDatabase" hidden="1">"B:\Users\Docomo\バグ管理\BugTBLU0.mdb"</definedName>
    <definedName name="ACCESS仕切">#REF!</definedName>
    <definedName name="ActEffort">#REF!</definedName>
    <definedName name="Air">#REF!</definedName>
    <definedName name="Air_YEN">#REF!</definedName>
    <definedName name="AirTicket">#REF!</definedName>
    <definedName name="APP_合計">#REF!</definedName>
    <definedName name="APP_大分類">#REF!</definedName>
    <definedName name="APP_大分類合計">#REF!</definedName>
    <definedName name="APP_小分類">#REF!</definedName>
    <definedName name="APP_小分類合計">#REF!</definedName>
    <definedName name="APP_項目">#REF!</definedName>
    <definedName name="APP_項目合計">#REF!</definedName>
    <definedName name="APP_項目最終行">#REF!</definedName>
    <definedName name="APP合計額">#REF!</definedName>
    <definedName name="ｂｂ">ｂｂ</definedName>
    <definedName name="BBB">BBB</definedName>
    <definedName name="BCR値段">#REF!</definedName>
    <definedName name="bias">#REF!</definedName>
    <definedName name="BugTBLU0_LMS11_List">#REF!</definedName>
    <definedName name="Car">#REF!</definedName>
    <definedName name="CBU_EAI">'[1]Server Configuration'!$B$16</definedName>
    <definedName name="cc">cc</definedName>
    <definedName name="copy" localSheetId="2">_xleta.copy</definedName>
    <definedName name="copy">_xleta.copy</definedName>
    <definedName name="DB設計_MM">#REF!</definedName>
    <definedName name="dd">dd</definedName>
    <definedName name="DDDT">DDDT</definedName>
    <definedName name="DDDT1">DDDT1</definedName>
    <definedName name="Desktop値段">#REF!</definedName>
    <definedName name="DocMM">[2]機能積上げ!$O$46</definedName>
    <definedName name="DollRate">#REF!</definedName>
    <definedName name="DotMatrix値段">#REF!</definedName>
    <definedName name="DQB">#REF!</definedName>
    <definedName name="DSB">#REF!</definedName>
    <definedName name="ee">ee</definedName>
    <definedName name="haha">#REF!</definedName>
    <definedName name="HardCost">'[2]Hardware Detail'!$F$28</definedName>
    <definedName name="HardExpenseTTL">#REF!</definedName>
    <definedName name="HardNetTTL">#REF!</definedName>
    <definedName name="hh">#REF!</definedName>
    <definedName name="HOLIDAYS">'[3]Sche Estimation'!$AA$12:$AA$50</definedName>
    <definedName name="Hotel">#REF!</definedName>
    <definedName name="IF設計_MM">#REF!</definedName>
    <definedName name="IO">#REF!</definedName>
    <definedName name="IPC値段">#REF!</definedName>
    <definedName name="IP割">#REF!</definedName>
    <definedName name="KQB">#REF!</definedName>
    <definedName name="KS">#REF!</definedName>
    <definedName name="KSB">#REF!</definedName>
    <definedName name="li">#REF!</definedName>
    <definedName name="LinePrinter値段">#REF!</definedName>
    <definedName name="lll">#REF!</definedName>
    <definedName name="LQB">#REF!</definedName>
    <definedName name="LQP">#REF!</definedName>
    <definedName name="LQty">#REF!</definedName>
    <definedName name="LSB">#REF!</definedName>
    <definedName name="LSP">#REF!</definedName>
    <definedName name="LSPARE">#REF!</definedName>
    <definedName name="lu">#REF!</definedName>
    <definedName name="lx">[4]Sheet3!$H$8:$H$9</definedName>
    <definedName name="ManManth">[2]機能積上げ!#REF!</definedName>
    <definedName name="MemberEffort">#REF!</definedName>
    <definedName name="MES_U">#REF!</definedName>
    <definedName name="MES割掛">#REF!</definedName>
    <definedName name="MM">#REF!</definedName>
    <definedName name="MM_YEN">#REF!</definedName>
    <definedName name="MMM">#REF!</definedName>
    <definedName name="Module1.TOKUCHG" localSheetId="2">[5]!Module1.TOKUCHG</definedName>
    <definedName name="Module1.TOKUCHG">[5]!Module1.TOKUCHG</definedName>
    <definedName name="Module1.TOKUCHG2" localSheetId="2">[6]!Module1.TOKUCHG2</definedName>
    <definedName name="Module1.TOKUCHG2">[6]!Module1.TOKUCHG2</definedName>
    <definedName name="MYR_HKD_Rate">#REF!</definedName>
    <definedName name="Ｎｅｔ">#REF!</definedName>
    <definedName name="NQB">#REF!</definedName>
    <definedName name="NSB">#REF!</definedName>
    <definedName name="NXAUTO_MM">#REF!</definedName>
    <definedName name="NXAUTOサーバ値段">#REF!</definedName>
    <definedName name="NXAUTOライセンス">#REF!</definedName>
    <definedName name="Office">#REF!</definedName>
    <definedName name="Omk時間割">#REF!</definedName>
    <definedName name="Oracle">#REF!</definedName>
    <definedName name="Oracle合計">#REF!</definedName>
    <definedName name="OS">#REF!</definedName>
    <definedName name="P.P.FA">#REF!</definedName>
    <definedName name="P.P.NX">#REF!</definedName>
    <definedName name="PC">#REF!</definedName>
    <definedName name="PC仕切">#REF!</definedName>
    <definedName name="phase">#REF!</definedName>
    <definedName name="PhaseEffort">#REF!</definedName>
    <definedName name="PhaseII合計">#REF!</definedName>
    <definedName name="PhaseI合計">#REF!</definedName>
    <definedName name="PhaseI合計外部">#REF!</definedName>
    <definedName name="PlanEffort">#REF!</definedName>
    <definedName name="plus">#REF!</definedName>
    <definedName name="PP合計額">#REF!</definedName>
    <definedName name="PQB">#REF!</definedName>
    <definedName name="PQP">#REF!</definedName>
    <definedName name="PQty">#REF!</definedName>
    <definedName name="PrinterServer値段">#REF!</definedName>
    <definedName name="PRT">#REF!</definedName>
    <definedName name="PRT仕切">#REF!</definedName>
    <definedName name="PSB">#REF!</definedName>
    <definedName name="PSP">#REF!</definedName>
    <definedName name="PSpare">#REF!</definedName>
    <definedName name="QA_MM_YEN">#REF!</definedName>
    <definedName name="QAM">[2]機能積上げ!$O$45</definedName>
    <definedName name="QAMM">#REF!</definedName>
    <definedName name="Rate">#REF!</definedName>
    <definedName name="rdbms2">#REF!</definedName>
    <definedName name="Router値段">#REF!</definedName>
    <definedName name="Sheet10">#REF!</definedName>
    <definedName name="Sheet11">#REF!</definedName>
    <definedName name="Sheet12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8">#REF!</definedName>
    <definedName name="Sheet9">#REF!</definedName>
    <definedName name="Srv">#REF!</definedName>
    <definedName name="ss">#REF!</definedName>
    <definedName name="Switch値段">#REF!</definedName>
    <definedName name="SWQB">#REF!</definedName>
    <definedName name="SWSB">#REF!</definedName>
    <definedName name="sx">[7]Sheet3!$F$8:$F$9</definedName>
    <definedName name="TK_DDDT">TK_DDDT</definedName>
    <definedName name="TOKUCHG">TOKUCHG</definedName>
    <definedName name="TOKUCHG2" localSheetId="2">[5]!TOKUCHG2</definedName>
    <definedName name="TOKUCHG2">[5]!TOKUCHG2</definedName>
    <definedName name="ttt">ttt</definedName>
    <definedName name="U">#REF!</definedName>
    <definedName name="U_MES">#REF!</definedName>
    <definedName name="unit">#REF!</definedName>
    <definedName name="UPS">#REF!</definedName>
    <definedName name="UPS値段">#REF!</definedName>
    <definedName name="USD_HKD_Rate">#REF!</definedName>
    <definedName name="USD_MYR_Rate">#REF!</definedName>
    <definedName name="VER">"ver 2.04"</definedName>
    <definedName name="VS">#REF!</definedName>
    <definedName name="Win2000P">#REF!</definedName>
    <definedName name="Win2000S">#REF!</definedName>
    <definedName name="www">www</definedName>
    <definedName name="ZDAY1">ZDAY1</definedName>
    <definedName name="ZDAY2">ZDAY2</definedName>
    <definedName name="ZDAY3">ZDAY3</definedName>
    <definedName name="zt">[8]Sheet3!$D$8:$D$9</definedName>
    <definedName name="お_SI一般割">#REF!</definedName>
    <definedName name="お_一般割">#REF!</definedName>
    <definedName name="お_利益">#REF!</definedName>
    <definedName name="お_割掛計">#REF!</definedName>
    <definedName name="お_外注割">#REF!</definedName>
    <definedName name="オ事_ハード">#REF!</definedName>
    <definedName name="サブコン_MD">#REF!</definedName>
    <definedName name="サブコン_MM">#REF!</definedName>
    <definedName name="サブコン_日当">#REF!</definedName>
    <definedName name="システム取纏め費">#REF!</definedName>
    <definedName name="その他">#REF!</definedName>
    <definedName name="その他ハード">#REF!</definedName>
    <definedName name="ソフト">#REF!</definedName>
    <definedName name="ソフトMM">[2]機能積上げ!$O$44</definedName>
    <definedName name="ソフトウェア合計">#REF!</definedName>
    <definedName name="ソフトウェア合計外部">#REF!</definedName>
    <definedName name="ソフト割掛">#REF!</definedName>
    <definedName name="データサーバ値段">#REF!</definedName>
    <definedName name="テスト環境j構築">[2]テスト環境構築!$H$5</definedName>
    <definedName name="ハード">#REF!</definedName>
    <definedName name="ハードウェア合計">#REF!</definedName>
    <definedName name="ハードウェア合計外部">#REF!</definedName>
    <definedName name="ハード割掛">#REF!</definedName>
    <definedName name="プロマネMM">[2]機能積上げ!$O$47</definedName>
    <definedName name="プロマネ合計">#REF!</definedName>
    <definedName name="プロマネ合計外部">#REF!</definedName>
    <definedName name="ラベルプリンタ値段">#REF!</definedName>
    <definedName name="レーザプリンタ値段">#REF!</definedName>
    <definedName name="一般割">#REF!</definedName>
    <definedName name="作業費_YEN">#REF!</definedName>
    <definedName name="円To外貨">#REF!</definedName>
    <definedName name="処理設計_MM">#REF!</definedName>
    <definedName name="制開ﾏｰｸｱｯﾌﾟ">#REF!</definedName>
    <definedName name="単体品質プログラム別_Click">単体品質プログラム別_Click</definedName>
    <definedName name="原因合计">#REF!</definedName>
    <definedName name="变更类型">#REF!</definedName>
    <definedName name="合计值">#REF!</definedName>
    <definedName name="周一">#REF!</definedName>
    <definedName name="周三">#REF!</definedName>
    <definedName name="周九">#REF!</definedName>
    <definedName name="周二">#REF!</definedName>
    <definedName name="周五">#REF!</definedName>
    <definedName name="周八">#REF!</definedName>
    <definedName name="周六">#REF!</definedName>
    <definedName name="周四">#REF!</definedName>
    <definedName name="周日">#REF!</definedName>
    <definedName name="国内ソフト割">#REF!</definedName>
    <definedName name="国内ハード割">#REF!</definedName>
    <definedName name="场所合计">#REF!</definedName>
    <definedName name="報告日">#REF!</definedName>
    <definedName name="報告者">#REF!</definedName>
    <definedName name="处理状态">#REF!</definedName>
    <definedName name="外注割">#REF!</definedName>
    <definedName name="外貨To円">#REF!</definedName>
    <definedName name="大">#REF!</definedName>
    <definedName name="大区分">#REF!</definedName>
    <definedName name="大同現調MM">[2]大同信号現調!$L$16</definedName>
    <definedName name="子项">#REF!</definedName>
    <definedName name="完成时间">#REF!</definedName>
    <definedName name="宿泊費">#REF!</definedName>
    <definedName name="宿泊費_YEN">#REF!</definedName>
    <definedName name="工場１">#REF!</definedName>
    <definedName name="工場２">#REF!</definedName>
    <definedName name="工場３">#REF!</definedName>
    <definedName name="工数_MD">#REF!</definedName>
    <definedName name="工数_MM">#REF!</definedName>
    <definedName name="开始日期">#REF!</definedName>
    <definedName name="开始时间">#REF!</definedName>
    <definedName name="形式">#REF!</definedName>
    <definedName name="担当Ｇ">#REF!</definedName>
    <definedName name="担当者">#REF!</definedName>
    <definedName name="数値area">#REF!</definedName>
    <definedName name="日当">#REF!</definedName>
    <definedName name="日当_YEN">#REF!</definedName>
    <definedName name="日立PP">#REF!</definedName>
    <definedName name="是否有已批准的项目计划？">[9]阶段活动检查表!#REF!</definedName>
    <definedName name="更新日">#REF!</definedName>
    <definedName name="月当り時間">#REF!</definedName>
    <definedName name="本社">#REF!</definedName>
    <definedName name="来源">#REF!</definedName>
    <definedName name="标记">#REF!</definedName>
    <definedName name="機器構成_MM">#REF!</definedName>
    <definedName name="機能設計_MM">#REF!</definedName>
    <definedName name="没没没">没没没</definedName>
    <definedName name="派遣割掛">#REF!</definedName>
    <definedName name="海外hard割">#REF!</definedName>
    <definedName name="海外ソフト割">#REF!</definedName>
    <definedName name="状态">[10]阶段活动检查表!#REF!</definedName>
    <definedName name="現調合計">#REF!</definedName>
    <definedName name="画面プロト_MM">#REF!</definedName>
    <definedName name="総合テスト_MM">#REF!</definedName>
    <definedName name="総計">#REF!</definedName>
    <definedName name="繰越保守年数">#REF!</definedName>
    <definedName name="结束日期">#REF!</definedName>
    <definedName name="製造品質プログラム別_Click">製造品質プログラム別_Click</definedName>
    <definedName name="詳細_close">詳細_close</definedName>
    <definedName name="詳細品質プログラム別_Click">詳細品質プログラム別_Click</definedName>
    <definedName name="諸経費">#REF!</definedName>
    <definedName name="購入PP">#REF!</definedName>
    <definedName name="購入割">#REF!</definedName>
    <definedName name="購入品経費計">#REF!</definedName>
    <definedName name="遵循判定">[11]数据源!$B$2:$B$5</definedName>
    <definedName name="项目子项清单">#REF!</definedName>
    <definedName name="项目阶段2">[11]数据源!$B$9:$B$18</definedName>
  </definedNames>
  <calcPr calcId="144525"/>
</workbook>
</file>

<file path=xl/sharedStrings.xml><?xml version="1.0" encoding="utf-8"?>
<sst xmlns="http://schemas.openxmlformats.org/spreadsheetml/2006/main" count="730" uniqueCount="448">
  <si>
    <t>序号</t>
  </si>
  <si>
    <t>分类</t>
  </si>
  <si>
    <t>应用分类</t>
  </si>
  <si>
    <t>涉及外部客户</t>
  </si>
  <si>
    <t>影响度</t>
  </si>
  <si>
    <t>紧急性</t>
  </si>
  <si>
    <t>优先级</t>
  </si>
  <si>
    <t>问题/需求描述</t>
  </si>
  <si>
    <t>根本原因分析/需求分析</t>
  </si>
  <si>
    <t>提出公司/职能中心</t>
  </si>
  <si>
    <t>提出部门</t>
  </si>
  <si>
    <t>提出人</t>
  </si>
  <si>
    <t>提出时间
(YYYY/MM/DD)</t>
  </si>
  <si>
    <t>处理人</t>
  </si>
  <si>
    <t>处理状态
(未解决/已解决)</t>
  </si>
  <si>
    <t>响应时间
(YYYY/MM/DD)</t>
  </si>
  <si>
    <t>计划完成时间
(YYYY/MM/DD)</t>
  </si>
  <si>
    <t>实际完成时间
(YYYY/MM/DD)</t>
  </si>
  <si>
    <t>处理方式/最终结果</t>
  </si>
  <si>
    <t>备注</t>
  </si>
  <si>
    <t>响应持续时间
(Days)</t>
  </si>
  <si>
    <t>计划完成-实际完成
(Days)</t>
  </si>
  <si>
    <t>实际完成持续时间
(Days)</t>
  </si>
  <si>
    <t>01-Task</t>
  </si>
  <si>
    <t>09-Network</t>
  </si>
  <si>
    <t>A01-All</t>
  </si>
  <si>
    <t>30-低</t>
  </si>
  <si>
    <t>三厂小簧车间增加无线AP</t>
  </si>
  <si>
    <t>MES工控机需要联网</t>
  </si>
  <si>
    <t>04-诸暨3厂</t>
  </si>
  <si>
    <t>IT管理部</t>
  </si>
  <si>
    <t>陈宇</t>
  </si>
  <si>
    <t>周航帅</t>
  </si>
  <si>
    <t>61-关闭</t>
  </si>
  <si>
    <t>目前使用正常</t>
  </si>
  <si>
    <t>04-Request</t>
  </si>
  <si>
    <t>01-MES</t>
  </si>
  <si>
    <t>D01-Lixiang</t>
  </si>
  <si>
    <t>10-高</t>
  </si>
  <si>
    <t>20-中</t>
  </si>
  <si>
    <t>理想质量追溯方案小结讨论-设计内部长期规划追溯方案：包含质量、返工等异常流程</t>
  </si>
  <si>
    <t>目前华纬的质检+原料+生产全生命周期追溯存在断点，未来无法满足越来越高的客户追溯需求/质量体系对于汽配行业的质量追溯需求</t>
  </si>
  <si>
    <t>03-诸暨2厂</t>
  </si>
  <si>
    <t>运营中心-稳定杆华纬工厂</t>
  </si>
  <si>
    <t>杨恒</t>
  </si>
  <si>
    <t>陈维炜</t>
  </si>
  <si>
    <t>和杨总拉会，对于长期方案认可，当下先满足对外-理想客户的最小方案包，约下一次最小方案包会议</t>
  </si>
  <si>
    <t>理想质量追溯方案讨论-需要进一步确定最小方案包后续给到客户的推进计划</t>
  </si>
  <si>
    <t>理想客户有质量追溯需求</t>
  </si>
  <si>
    <t>品控部</t>
  </si>
  <si>
    <t>张勇</t>
  </si>
  <si>
    <t>硬件清单9.9确定，已补齐给到业务部门</t>
  </si>
  <si>
    <t>软件计划已列出，待生产部门补充硬件清单，再制定硬件计划</t>
  </si>
  <si>
    <t>03-Problem</t>
  </si>
  <si>
    <t>MES设备维保模块重新指派人员页面-搜索功能无效</t>
  </si>
  <si>
    <t>定制开发问题/bug</t>
  </si>
  <si>
    <t>02-诸暨1厂</t>
  </si>
  <si>
    <t>华纬科技一厂-设备工艺部-设备维修科</t>
  </si>
  <si>
    <t>黎建伟</t>
  </si>
  <si>
    <t>记录一厂MES问题管制表，发送鼎捷项目组，跟踪bug修复进度</t>
  </si>
  <si>
    <t>鼎捷将bug修复，属于二开功能bug。</t>
  </si>
  <si>
    <t>06-Workplace</t>
  </si>
  <si>
    <t>公司营销部门计划引入CRM系统、目前还处于需求收集阶段。需要要营销部门的对接专员对接需求。-先设计一套标准CRM需求调研表单，给到专员可以快速按表收集背景、现状、问题、需求、改善方向</t>
  </si>
  <si>
    <t>公司规模日渐增长、销售部门的管理难度和复杂度也在增长，需要有更专业的系统支撑流程</t>
  </si>
  <si>
    <t>01-集团</t>
  </si>
  <si>
    <t>营销中心-销售部</t>
  </si>
  <si>
    <t>涂雯鑫</t>
  </si>
  <si>
    <t>41-处理</t>
  </si>
  <si>
    <t>05-Project</t>
  </si>
  <si>
    <t>建设IT管理部内部日常管理工作台</t>
  </si>
  <si>
    <t>目前IT管理部项目并行推进、不同专员之间信息、表格、任务进度各不相同，缺乏统一管理和盘点入口，日常管理难度高、效率不高。</t>
  </si>
  <si>
    <t>曹云峰</t>
  </si>
  <si>
    <t>I03-BMW</t>
  </si>
  <si>
    <t>MES管理刀具和模具项目推进，先和子淮描绘一版目前的刀具/模具现状，基于管理目标先由IT内部设想来绘制一个完整的管理流程-用于会议讨论方向和困难点、可行性。</t>
  </si>
  <si>
    <t>客户对刀具模具提出要管理起来</t>
  </si>
  <si>
    <t>运营中心-华纬科技一厂</t>
  </si>
  <si>
    <t>吴礼祥</t>
  </si>
  <si>
    <t>金晟检验数据批量导入</t>
  </si>
  <si>
    <t>05-诸暨金晟</t>
  </si>
  <si>
    <t>金晟-工艺部</t>
  </si>
  <si>
    <t>阮琦婷</t>
  </si>
  <si>
    <t>翁子淮</t>
  </si>
  <si>
    <t>金晟新打印机换纸调试</t>
  </si>
  <si>
    <t>金晟生产部</t>
  </si>
  <si>
    <t>赵凌梓</t>
  </si>
  <si>
    <t>金晟老厂端头、直杆打磨、通孔补漆工序反馈员工手机扫码较为困难，需要采购PDA使用，并需要对员工进行培训</t>
  </si>
  <si>
    <t>金晟生产车间</t>
  </si>
  <si>
    <t>宣葛葛
杨虎军
蒋高岗</t>
  </si>
  <si>
    <t>已于周会结束后完成分发与培训</t>
  </si>
  <si>
    <t>02-Incident</t>
  </si>
  <si>
    <t>MES中机台状态会自动变为暂停状态，导致员工不能进行报工操作</t>
  </si>
  <si>
    <t>数采接入后，数采状态会影响设备状态，导致数采设备产生状态变化，从而影响报工</t>
  </si>
  <si>
    <t>二厂大簧 生产部</t>
  </si>
  <si>
    <t>潘忠凡</t>
  </si>
  <si>
    <t>将数采状态影响MES设备状态功能暂时关闭</t>
  </si>
  <si>
    <t>D04-Geely</t>
  </si>
  <si>
    <t>无锡数据传输至吉利客户项目推进，整理数据内部评估表并给到无锡部分，解释计划对接流程，给出简易方案</t>
  </si>
  <si>
    <t>06-无锡弹簧</t>
  </si>
  <si>
    <t>无锡泽根 质量部</t>
  </si>
  <si>
    <t>刘艳梅</t>
  </si>
  <si>
    <t>02-U9C</t>
  </si>
  <si>
    <t>财务厂商价目表整理导入</t>
  </si>
  <si>
    <t>系统里有历史的导入记录，新导入会导致价表重复</t>
  </si>
  <si>
    <t>财务中心</t>
  </si>
  <si>
    <t>劳碧云</t>
  </si>
  <si>
    <t>黄顺吉</t>
  </si>
  <si>
    <t>财务所需生效时间往前改，且新增价表处理</t>
  </si>
  <si>
    <t>U9账户购置</t>
  </si>
  <si>
    <t>各部门账户所需数量大于许可数量</t>
  </si>
  <si>
    <t>整理各部门需求与实际情况，提交采购流程</t>
  </si>
  <si>
    <t>国外站点需要部署VPN服务</t>
  </si>
  <si>
    <t>国外用户需要访问本地资源</t>
  </si>
  <si>
    <t>31-评估</t>
  </si>
  <si>
    <t>与电信沟通SD-Wan方案</t>
  </si>
  <si>
    <t>WMS-U9C集成需求方案评估确定</t>
  </si>
  <si>
    <t>仓库提出出货计划单累计、条码状态更新、创建人明确到人</t>
  </si>
  <si>
    <t>物流中心</t>
  </si>
  <si>
    <t>仓管人员</t>
  </si>
  <si>
    <t>郑少青</t>
  </si>
  <si>
    <t>WMS-U9C集成需求实施</t>
  </si>
  <si>
    <t>U9C问题汇总</t>
  </si>
  <si>
    <t>第一阶段参照财务需求清单，继续搜集物流仓库等部门需求</t>
  </si>
  <si>
    <t>会议室方案支持</t>
  </si>
  <si>
    <t>U9C日常运维</t>
  </si>
  <si>
    <t>应付单打印内容调整</t>
  </si>
  <si>
    <t>采购部</t>
  </si>
  <si>
    <t>翁柳芹</t>
  </si>
  <si>
    <t>No1</t>
  </si>
  <si>
    <t>Category</t>
  </si>
  <si>
    <t>Category_Excel</t>
  </si>
  <si>
    <t>Comment1</t>
  </si>
  <si>
    <t>No2</t>
  </si>
  <si>
    <t>App</t>
  </si>
  <si>
    <t>App_Excel</t>
  </si>
  <si>
    <t>Comment2</t>
  </si>
  <si>
    <t>No3</t>
  </si>
  <si>
    <t>Company</t>
  </si>
  <si>
    <t>Company_Excel</t>
  </si>
  <si>
    <t>Comment3</t>
  </si>
  <si>
    <t>No4</t>
  </si>
  <si>
    <t>Customer</t>
  </si>
  <si>
    <t>Customer_Excel</t>
  </si>
  <si>
    <t>Comment4</t>
  </si>
  <si>
    <t>No5</t>
  </si>
  <si>
    <t>Status</t>
  </si>
  <si>
    <t>Status_Excel</t>
  </si>
  <si>
    <t>Comment5</t>
  </si>
  <si>
    <t>No6</t>
  </si>
  <si>
    <t>Impact_Excel</t>
  </si>
  <si>
    <t>Comment6</t>
  </si>
  <si>
    <t>No7</t>
  </si>
  <si>
    <t>Urgency_Excel</t>
  </si>
  <si>
    <t>Comment7</t>
  </si>
  <si>
    <t>No8</t>
  </si>
  <si>
    <t>小组</t>
  </si>
  <si>
    <t>姓名</t>
  </si>
  <si>
    <t>01</t>
  </si>
  <si>
    <t>Task</t>
  </si>
  <si>
    <t>任务（安装软件、布线、调试终端设备等等）</t>
  </si>
  <si>
    <t>MES</t>
  </si>
  <si>
    <t>集团</t>
  </si>
  <si>
    <t>职能中心</t>
  </si>
  <si>
    <t>D01</t>
  </si>
  <si>
    <t>Lixiang</t>
  </si>
  <si>
    <t>理想</t>
  </si>
  <si>
    <t>11</t>
  </si>
  <si>
    <t>提出-业务澄清</t>
  </si>
  <si>
    <t>Infra</t>
  </si>
  <si>
    <t>徐海东</t>
  </si>
  <si>
    <t>02</t>
  </si>
  <si>
    <t>Incident</t>
  </si>
  <si>
    <t>故障（系统问题、应用卡顿等等）</t>
  </si>
  <si>
    <t>U9C</t>
  </si>
  <si>
    <t>诸暨1厂</t>
  </si>
  <si>
    <t>D02</t>
  </si>
  <si>
    <t>Weilai</t>
  </si>
  <si>
    <t>蔚来</t>
  </si>
  <si>
    <t>12</t>
  </si>
  <si>
    <t>提出-客户澄清</t>
  </si>
  <si>
    <t>空1</t>
  </si>
  <si>
    <t>03</t>
  </si>
  <si>
    <t>Problem</t>
  </si>
  <si>
    <t>问题（疑难杂症，短期无法处理）</t>
  </si>
  <si>
    <t>WMS</t>
  </si>
  <si>
    <t>诸暨2厂</t>
  </si>
  <si>
    <t>D03</t>
  </si>
  <si>
    <t>Xiaopeng</t>
  </si>
  <si>
    <t>小鹏</t>
  </si>
  <si>
    <t>13</t>
  </si>
  <si>
    <t>提出-其他澄清</t>
  </si>
  <si>
    <t>04</t>
  </si>
  <si>
    <t>Request</t>
  </si>
  <si>
    <t>需求（新增软件功能、新增流程等等）</t>
  </si>
  <si>
    <t>PLM</t>
  </si>
  <si>
    <t>诸暨3厂</t>
  </si>
  <si>
    <t>D04</t>
  </si>
  <si>
    <t>Geely</t>
  </si>
  <si>
    <t>吉利</t>
  </si>
  <si>
    <t>14</t>
  </si>
  <si>
    <t>提出-技术澄清</t>
  </si>
  <si>
    <t>05</t>
  </si>
  <si>
    <t>Project</t>
  </si>
  <si>
    <t>项目（需要组建团队解决、或者长期资源解决）</t>
  </si>
  <si>
    <t>Security</t>
  </si>
  <si>
    <t>诸暨金晟</t>
  </si>
  <si>
    <t>D05</t>
  </si>
  <si>
    <t>GreatWall</t>
  </si>
  <si>
    <t>长城</t>
  </si>
  <si>
    <t>接受</t>
  </si>
  <si>
    <t>06</t>
  </si>
  <si>
    <t>Workplace</t>
  </si>
  <si>
    <t>无锡弹簧</t>
  </si>
  <si>
    <t>D06</t>
  </si>
  <si>
    <t>FAW</t>
  </si>
  <si>
    <t>一汽</t>
  </si>
  <si>
    <t>评估</t>
  </si>
  <si>
    <t>07</t>
  </si>
  <si>
    <t>研发云</t>
  </si>
  <si>
    <t>重庆工厂</t>
  </si>
  <si>
    <t>I01</t>
  </si>
  <si>
    <t>Ford</t>
  </si>
  <si>
    <t>福特</t>
  </si>
  <si>
    <t>处理</t>
  </si>
  <si>
    <t>08</t>
  </si>
  <si>
    <t>PDA</t>
  </si>
  <si>
    <t>南京工厂</t>
  </si>
  <si>
    <t>I02</t>
  </si>
  <si>
    <t>Stellantis</t>
  </si>
  <si>
    <t>斯特兰蒂斯</t>
  </si>
  <si>
    <t>验证</t>
  </si>
  <si>
    <t>Digital</t>
  </si>
  <si>
    <t>09</t>
  </si>
  <si>
    <t>Network</t>
  </si>
  <si>
    <t>河南工厂</t>
  </si>
  <si>
    <t>I03</t>
  </si>
  <si>
    <t>BMW</t>
  </si>
  <si>
    <t>宝马</t>
  </si>
  <si>
    <t>关闭</t>
  </si>
  <si>
    <t>空2</t>
  </si>
  <si>
    <t>10</t>
  </si>
  <si>
    <t>德国工厂</t>
  </si>
  <si>
    <t>I04</t>
  </si>
  <si>
    <t>VW</t>
  </si>
  <si>
    <t>大众</t>
  </si>
  <si>
    <t>关闭-用户撤销</t>
  </si>
  <si>
    <t>墨西哥工厂</t>
  </si>
  <si>
    <t>I05</t>
  </si>
  <si>
    <t>Volve</t>
  </si>
  <si>
    <t>沃尔沃</t>
  </si>
  <si>
    <t>其他</t>
  </si>
  <si>
    <t>摩洛哥工厂</t>
  </si>
  <si>
    <t>A01</t>
  </si>
  <si>
    <t>All</t>
  </si>
  <si>
    <t>所有</t>
  </si>
  <si>
    <t>A02</t>
  </si>
  <si>
    <t>Domestic</t>
  </si>
  <si>
    <t>国内所有</t>
  </si>
  <si>
    <t>A03</t>
  </si>
  <si>
    <t>International</t>
  </si>
  <si>
    <t>国际所有</t>
  </si>
  <si>
    <t>A21</t>
  </si>
  <si>
    <t>Zhuji</t>
  </si>
  <si>
    <t>诸暨工厂</t>
  </si>
  <si>
    <t>A22</t>
  </si>
  <si>
    <t>Non-Zhuji</t>
  </si>
  <si>
    <t>国内非诸暨工厂</t>
  </si>
  <si>
    <t>G21</t>
  </si>
  <si>
    <t>HRG</t>
  </si>
  <si>
    <t>集团HR</t>
  </si>
  <si>
    <t>G22</t>
  </si>
  <si>
    <t>PRG</t>
  </si>
  <si>
    <t>集团采购</t>
  </si>
  <si>
    <t>G23</t>
  </si>
  <si>
    <t>ITG</t>
  </si>
  <si>
    <t>集团IT</t>
  </si>
  <si>
    <t>G24</t>
  </si>
  <si>
    <t>FTG</t>
  </si>
  <si>
    <t>集团财务</t>
  </si>
  <si>
    <t>G25</t>
  </si>
  <si>
    <t>MGG</t>
  </si>
  <si>
    <t>集团运营</t>
  </si>
  <si>
    <t>G26</t>
  </si>
  <si>
    <t>QMG</t>
  </si>
  <si>
    <t>集团质量</t>
  </si>
  <si>
    <t>G27</t>
  </si>
  <si>
    <t>LOG</t>
  </si>
  <si>
    <t>集团物流</t>
  </si>
  <si>
    <t>项目风险/问题日志</t>
  </si>
  <si>
    <t>类型
(风险/问题)</t>
  </si>
  <si>
    <t>系统分类</t>
  </si>
  <si>
    <t>风险/问题描述及分析</t>
  </si>
  <si>
    <t>提出时间</t>
  </si>
  <si>
    <t>处理结果
(未解决/已解决)</t>
  </si>
  <si>
    <t>处理时间</t>
  </si>
  <si>
    <t>风险</t>
  </si>
  <si>
    <t>客户服务器配置不够</t>
  </si>
  <si>
    <t>张三</t>
  </si>
  <si>
    <t>李四</t>
  </si>
  <si>
    <t>未解决</t>
  </si>
  <si>
    <t>客户采购新的服务器，还没到位</t>
  </si>
  <si>
    <t>问题</t>
  </si>
  <si>
    <t>客户单点登录有特殊要求</t>
  </si>
  <si>
    <t>已解决</t>
  </si>
  <si>
    <t>提了二开需求，XX正在处理，预计下周二会会有版本提供，进行测试</t>
  </si>
  <si>
    <t>ITIL 事件优先级矩阵（影响度 × 紧急度）</t>
  </si>
  <si>
    <t>影响度 \ 紧急度</t>
  </si>
  <si>
    <t>高（High）</t>
  </si>
  <si>
    <t>中（Medium）</t>
  </si>
  <si>
    <t>低（Low）</t>
  </si>
  <si>
    <t>P1</t>
  </si>
  <si>
    <t>P2</t>
  </si>
  <si>
    <t>P3</t>
  </si>
  <si>
    <t>P4</t>
  </si>
  <si>
    <t>优先级说明</t>
  </si>
  <si>
    <t>名称</t>
  </si>
  <si>
    <t>定义</t>
  </si>
  <si>
    <t>典型响应时间</t>
  </si>
  <si>
    <t>典型解决时间</t>
  </si>
  <si>
    <t>紧急（Critical）</t>
  </si>
  <si>
    <t>核心业务完全中断，大量用户受影响，无 workaround</t>
  </si>
  <si>
    <t>15 分钟内</t>
  </si>
  <si>
    <t>4 小时内</t>
  </si>
  <si>
    <t>重要业务功能受损，较大范围用户受影响，有临时 workaround</t>
  </si>
  <si>
    <t>30 分钟内</t>
  </si>
  <si>
    <t>8 小时内</t>
  </si>
  <si>
    <t>非核心功能异常，小范围用户受影响，业务可正常运转</t>
  </si>
  <si>
    <t>2 小时内</t>
  </si>
  <si>
    <t>1 个工作日内</t>
  </si>
  <si>
    <t>轻微问题或咨询，单个用户受影响，不影响业务流程</t>
  </si>
  <si>
    <t>3 个工作日内</t>
  </si>
  <si>
    <t>影响度（Impact）定义</t>
  </si>
  <si>
    <t>等级</t>
  </si>
  <si>
    <t>受影响范围</t>
  </si>
  <si>
    <t>业务后果</t>
  </si>
  <si>
    <t>高</t>
  </si>
  <si>
    <t>核心业务系统或服务完全不可用</t>
  </si>
  <si>
    <t>全公司 / 全部门 / 大量用户（&gt;50%）</t>
  </si>
  <si>
    <t>业务中断，造成重大经济或声誉损失</t>
  </si>
  <si>
    <t>中</t>
  </si>
  <si>
    <t>重要功能受损但非完全不可用，或核心系统性能严重下降</t>
  </si>
  <si>
    <t>部分部门 / 较多用户（10%-50%）</t>
  </si>
  <si>
    <t>业务效率显著下降，存在可规避的 workaround</t>
  </si>
  <si>
    <t>低</t>
  </si>
  <si>
    <t>非核心功能异常，或仅影响个别用户</t>
  </si>
  <si>
    <t>个别部门 / 少量用户（&lt;10%）</t>
  </si>
  <si>
    <t>业务基本不受影响，用户体验下降</t>
  </si>
  <si>
    <t>紧急度（Urgency）定义</t>
  </si>
  <si>
    <t>时间容忍度</t>
  </si>
  <si>
    <t>典型场景</t>
  </si>
  <si>
    <t>需要立即处理，延迟会导致严重后果</t>
  </si>
  <si>
    <t>几乎无容忍（&lt;1 小时）</t>
  </si>
  <si>
    <t>核心系统宕机、交易中断、安全事件</t>
  </si>
  <si>
    <t>需要尽快处理，但可容忍一定延迟</t>
  </si>
  <si>
    <t>可容忍数小时（1-8 小时）</t>
  </si>
  <si>
    <t>重要功能异常、批量任务失败、性能下降</t>
  </si>
  <si>
    <t>可按计划处理，延迟影响有限</t>
  </si>
  <si>
    <t>可容忍数天（&gt;8 小时）</t>
  </si>
  <si>
    <t>界面小瑕疵、文档咨询、非紧急配置变更</t>
  </si>
  <si>
    <t>核心系统</t>
  </si>
  <si>
    <t>ERP</t>
  </si>
  <si>
    <t>Production</t>
  </si>
  <si>
    <t>Logistics</t>
  </si>
  <si>
    <t>事件优先级详细定义与 SLA 标准</t>
  </si>
  <si>
    <t>影响度×紧急度组合</t>
  </si>
  <si>
    <t>定义描述</t>
  </si>
  <si>
    <t>响应时间</t>
  </si>
  <si>
    <t>解决时间</t>
  </si>
  <si>
    <t>升级路径</t>
  </si>
  <si>
    <t>通知要求</t>
  </si>
  <si>
    <t>紧急 Critical</t>
  </si>
  <si>
    <t>高×高、高×中、中×高</t>
  </si>
  <si>
    <t>核心业务完全中断，大量用户无法使用关键服务，无可用 workaround，可能造成重大经济损失或合规风险</t>
  </si>
  <si>
    <t>≤15 分钟</t>
  </si>
  <si>
    <t>≤4 小时</t>
  </si>
  <si>
    <t>立即通知 IT 经理 / 服务经理；30 分钟未解决升级至 IT 总监；2 小时未解决升级至 CIO</t>
  </si>
  <si>
    <t>每 30 分钟向利益相关方发送进展通报；解决后 24 小时内提交 RCA 报告</t>
  </si>
  <si>
    <t>高 High</t>
  </si>
  <si>
    <t>高×低、中×中、低×高</t>
  </si>
  <si>
    <t>重要业务功能严重受损，较大范围用户受影响，存在临时 workaround 但效率低下</t>
  </si>
  <si>
    <t>≤30 分钟</t>
  </si>
  <si>
    <t>≤8 小时（或下一工作日）</t>
  </si>
  <si>
    <t>1 小时未解决升级至 IT 经理；4 小时未解决升级至 IT 总监</t>
  </si>
  <si>
    <t>每 1 小时发送进展通报；解决后 48 小时内提交 RCA 报告</t>
  </si>
  <si>
    <t>中 Medium</t>
  </si>
  <si>
    <t>中×低、低×中</t>
  </si>
  <si>
    <t>非核心功能异常，小范围用户受影响，核心业务可正常运转，有明确 workaround</t>
  </si>
  <si>
    <t>≤2 小时</t>
  </si>
  <si>
    <t>≤1 个工作日</t>
  </si>
  <si>
    <t>1 个工作日未解决升级至 IT 经理</t>
  </si>
  <si>
    <t>每日更新工单状态；解决后无需 RCA（除非重复发生）</t>
  </si>
  <si>
    <t>低 Low</t>
  </si>
  <si>
    <t>低×低</t>
  </si>
  <si>
    <t>轻微问题、咨询请求或 cosmetic 缺陷，单个用户受影响，不影响业务流程</t>
  </si>
  <si>
    <t>≤3 个工作日</t>
  </si>
  <si>
    <t>3 个工作日未解决升级至 IT 经理</t>
  </si>
  <si>
    <t>按常规工单流程处理；可批量纳入变更窗口解决</t>
  </si>
  <si>
    <t>各优先级典型事件案例</t>
  </si>
  <si>
    <t>事件描述</t>
  </si>
  <si>
    <t>紧急度</t>
  </si>
  <si>
    <t>处理要点</t>
  </si>
  <si>
    <t>核心 ERP 系统数据库宕机，全公司无法下单和发货</t>
  </si>
  <si>
    <t>全公司所有业务部门</t>
  </si>
  <si>
    <t>立即启动应急响应；切换至备用系统；DBA 现场排查；每 30 分钟通报；事后 RCA</t>
  </si>
  <si>
    <t>公司官网遭 DDoS 攻击，外部客户完全无法访问</t>
  </si>
  <si>
    <t>所有外部客户 + 品牌声誉</t>
  </si>
  <si>
    <t>安全团队介入；启用流量清洗；通知 ISP；法务/公关同步；保留取证日志</t>
  </si>
  <si>
    <t>邮件服务器全局故障，全员无法收发邮件</t>
  </si>
  <si>
    <t>全公司员工</t>
  </si>
  <si>
    <t>切换备用邮件网关；排查 Exchange/服务器；临时启用 Webmail；批量通知</t>
  </si>
  <si>
    <t>生产车间 MES 系统崩溃，生产线全部停摆</t>
  </si>
  <si>
    <t>全部生产线 + 生产计划</t>
  </si>
  <si>
    <t>IT 与生产联合应急；手动记录生产数据；优先恢复关键产线；评估产能损失</t>
  </si>
  <si>
    <t>OA 审批流程引擎异常，审批单无法流转</t>
  </si>
  <si>
    <t>全公司审批流程</t>
  </si>
  <si>
    <t>临时改为邮件审批；排查工作流引擎；恢复后补录审批记录；通知各部门</t>
  </si>
  <si>
    <t>VPN 网关故障，远程办公员工无法接入内网</t>
  </si>
  <si>
    <t>所有远程办公员工</t>
  </si>
  <si>
    <t>启用备用 VPN 节点；排查网关设备；发布临时接入指引；监控连接数恢复</t>
  </si>
  <si>
    <t>财务系统月结模块报错，无法完成月度结账</t>
  </si>
  <si>
    <t>财务部 + 月结时间表</t>
  </si>
  <si>
    <t>财务先手工汇总；IT 排查模块日志；协调厂商支持；确保不影响报税截止日</t>
  </si>
  <si>
    <t>CRM 系统查询性能严重下降，销售团队效率受影响</t>
  </si>
  <si>
    <t>销售团队（约 30% 用户）</t>
  </si>
  <si>
    <t>排查数据库慢查询；临时增加缓存；优化索引；性能恢复后做容量评估</t>
  </si>
  <si>
    <t>会议室预订系统部分时段显示异常</t>
  </si>
  <si>
    <t>使用该系统的员工</t>
  </si>
  <si>
    <t>排查日历同步接口；临时改为前台人工预订；下个版本修复；通知行政部</t>
  </si>
  <si>
    <t>某部门打印机驱动不兼容，无法打印彩色</t>
  </si>
  <si>
    <t>该部门员工</t>
  </si>
  <si>
    <t>远程协助更新驱动；如无法解决安排现场支持；记录设备型号做批量更新</t>
  </si>
  <si>
    <t>HR 系统员工自助查询页面个别字段显示错误</t>
  </si>
  <si>
    <t>使用自助查询的员工</t>
  </si>
  <si>
    <t>确认是前端展示问题不影响数据；排期修复；告知用户数据以 HR 后台为准</t>
  </si>
  <si>
    <t>开发团队 Git 仓库某分支合并冲突无法自动解决</t>
  </si>
  <si>
    <t>该开发团队</t>
  </si>
  <si>
    <t>协助人工解决冲突；检查分支保护策略；提供 Git 操作培训建议</t>
  </si>
  <si>
    <t>新员工入职电脑壁纸需要统一更换</t>
  </si>
  <si>
    <t>新入职员工</t>
  </si>
  <si>
    <t>通过域策略批量推送；纳入常规入职流程；无需单独工单跟进</t>
  </si>
  <si>
    <t>某软件界面错别字需要修正</t>
  </si>
  <si>
    <t>所有使用该软件的用户</t>
  </si>
  <si>
    <t>记录到缺陷跟踪系统；随下个版本发布修复；不单独安排紧急发布</t>
  </si>
  <si>
    <t>员工咨询如何配置手机邮箱客户端</t>
  </si>
  <si>
    <t>单个员工</t>
  </si>
  <si>
    <t>提供知识库文档链接；远程指导配置；更新自助服务知识库</t>
  </si>
  <si>
    <t>共享盘某文件夹权限需要调整（新增访问人员）</t>
  </si>
  <si>
    <t>需要访问的个别员工</t>
  </si>
  <si>
    <t>核实审批流程后调整权限；记录权限变更日志；通知申请人测试访问</t>
  </si>
</sst>
</file>

<file path=xl/styles.xml><?xml version="1.0" encoding="utf-8"?>
<styleSheet xmlns="http://schemas.openxmlformats.org/spreadsheetml/2006/main">
  <numFmts count="37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178" formatCode="#\ ??/??"/>
    <numFmt numFmtId="23" formatCode="\$#,##0_);\(\$#,##0\)"/>
    <numFmt numFmtId="179" formatCode="mmmm\-yy"/>
    <numFmt numFmtId="5" formatCode="&quot;￥&quot;#,##0;&quot;￥&quot;\-#,##0"/>
    <numFmt numFmtId="180" formatCode="[DBNum1]上午/下午h&quot;时&quot;mm&quot;分&quot;"/>
    <numFmt numFmtId="25" formatCode="\$#,##0.00_);\(\$#,##0.00\)"/>
    <numFmt numFmtId="42" formatCode="_ &quot;￥&quot;* #,##0_ ;_ &quot;￥&quot;* \-#,##0_ ;_ &quot;￥&quot;* &quot;-&quot;_ ;_ @_ "/>
    <numFmt numFmtId="181" formatCode="[$-804]aaa"/>
    <numFmt numFmtId="182" formatCode="[DBNum1][$-804]yyyy&quot;年&quot;m&quot;月&quot;d&quot;日&quot;"/>
    <numFmt numFmtId="183" formatCode="h:mm:ss\ AM/PM"/>
    <numFmt numFmtId="184" formatCode="[DBNum1][$-804]m&quot;月&quot;d&quot;日&quot;"/>
    <numFmt numFmtId="8" formatCode="&quot;￥&quot;#,##0.00;[Red]&quot;￥&quot;\-#,##0.00"/>
    <numFmt numFmtId="185" formatCode="[$-804]aaaa"/>
    <numFmt numFmtId="26" formatCode="\$#,##0.00_);[Red]\(\$#,##0.00\)"/>
    <numFmt numFmtId="186" formatCode="yyyy/m/d\ h:mm\ AM/PM"/>
    <numFmt numFmtId="187" formatCode="mm/dd/yy"/>
    <numFmt numFmtId="188" formatCode="yy/m/d"/>
    <numFmt numFmtId="24" formatCode="\$#,##0_);[Red]\(\$#,##0\)"/>
    <numFmt numFmtId="189" formatCode="dd\-mmm\-yy"/>
    <numFmt numFmtId="190" formatCode="mmmmm\-yy"/>
    <numFmt numFmtId="191" formatCode="h:mm\ AM/PM"/>
    <numFmt numFmtId="192" formatCode="\¥#,##0;\¥\-#,##0"/>
    <numFmt numFmtId="193" formatCode="\¥#,##0.00;\¥\-#,##0.00"/>
    <numFmt numFmtId="194" formatCode="yyyy/mm/dd"/>
    <numFmt numFmtId="44" formatCode="_ &quot;￥&quot;* #,##0.00_ ;_ &quot;￥&quot;* \-#,##0.00_ ;_ &quot;￥&quot;* &quot;-&quot;??_ ;_ @_ "/>
    <numFmt numFmtId="41" formatCode="_ * #,##0_ ;_ * \-#,##0_ ;_ * &quot;-&quot;_ ;_ @_ "/>
    <numFmt numFmtId="195" formatCode="[DBNum1]h&quot;时&quot;mm&quot;分&quot;"/>
    <numFmt numFmtId="196" formatCode="\¥#,##0;[Red]\¥\-#,##0"/>
    <numFmt numFmtId="197" formatCode="m/d"/>
    <numFmt numFmtId="7" formatCode="&quot;￥&quot;#,##0.00;&quot;￥&quot;\-#,##0.00"/>
    <numFmt numFmtId="198" formatCode="mmmmm"/>
    <numFmt numFmtId="199" formatCode="#\ ?/?"/>
    <numFmt numFmtId="43" formatCode="_ * #,##0.00_ ;_ * \-#,##0.00_ ;_ * &quot;-&quot;??_ ;_ @_ "/>
    <numFmt numFmtId="200" formatCode="#\ ??"/>
  </numFmts>
  <fonts count="41">
    <font>
      <sz val="11"/>
      <color theme="1"/>
      <name val="等线"/>
      <charset val="134"/>
      <scheme val="minor"/>
    </font>
    <font>
      <b/>
      <sz val="14"/>
      <color rgb="FF1F3864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2"/>
      <color rgb="FFFFFFFF"/>
      <name val="微软雅黑"/>
      <charset val="134"/>
    </font>
    <font>
      <b/>
      <sz val="12"/>
      <color rgb="FF000000"/>
      <name val="微软雅黑"/>
      <charset val="134"/>
    </font>
    <font>
      <b/>
      <sz val="12"/>
      <color rgb="FF1F3864"/>
      <name val="微软雅黑"/>
      <charset val="134"/>
    </font>
    <font>
      <b/>
      <sz val="9"/>
      <color rgb="FF333333"/>
      <name val="宋体"/>
      <charset val="134"/>
    </font>
    <font>
      <b/>
      <sz val="9"/>
      <color rgb="FF333333"/>
      <name val="微软雅黑"/>
      <charset val="134"/>
    </font>
    <font>
      <sz val="9"/>
      <name val="SimSun"/>
      <charset val="134"/>
    </font>
    <font>
      <sz val="9"/>
      <color rgb="FF000000"/>
      <name val="SimSun"/>
      <charset val="134"/>
    </font>
    <font>
      <b/>
      <sz val="10"/>
      <color rgb="FF333333"/>
      <name val="宋体"/>
      <charset val="134"/>
    </font>
    <font>
      <sz val="11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rgb="FFFFFFFF"/>
      <name val="等线"/>
      <charset val="134"/>
    </font>
    <font>
      <sz val="11"/>
      <color rgb="FF000000"/>
      <name val="等线"/>
      <charset val="134"/>
    </font>
    <font>
      <u/>
      <sz val="9"/>
      <color theme="10"/>
      <name val="等线"/>
      <charset val="134"/>
      <scheme val="minor"/>
    </font>
    <font>
      <b/>
      <sz val="9"/>
      <name val="SimSun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indexed="8"/>
      <name val="等线"/>
      <charset val="1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"/>
        <bgColor rgb="FFFFFFFF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3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CCFF"/>
      </left>
      <right style="dashed">
        <color rgb="FF00CCFF"/>
      </right>
      <top style="medium">
        <color rgb="FF00B0F0"/>
      </top>
      <bottom style="dashed">
        <color rgb="FF00CCFF"/>
      </bottom>
      <diagonal/>
    </border>
    <border>
      <left style="dashed">
        <color rgb="FF00CCFF"/>
      </left>
      <right style="dashed">
        <color rgb="FF00CCFF"/>
      </right>
      <top style="medium">
        <color rgb="FF00B0F0"/>
      </top>
      <bottom style="dashed">
        <color rgb="FF00CCFF"/>
      </bottom>
      <diagonal/>
    </border>
    <border>
      <left style="medium">
        <color rgb="FF00CCFF"/>
      </left>
      <right style="dashed">
        <color rgb="FF00CCFF"/>
      </right>
      <top style="dashed">
        <color rgb="FF00CCFF"/>
      </top>
      <bottom style="dashed">
        <color rgb="FF00CCFF"/>
      </bottom>
      <diagonal/>
    </border>
    <border>
      <left style="dashed">
        <color rgb="FF00CCFF"/>
      </left>
      <right style="dashed">
        <color rgb="FF00CCFF"/>
      </right>
      <top style="dashed">
        <color rgb="FF00CCFF"/>
      </top>
      <bottom style="dashed">
        <color rgb="FF00CCFF"/>
      </bottom>
      <diagonal/>
    </border>
    <border>
      <left style="medium">
        <color rgb="FF00CCFF"/>
      </left>
      <right style="dashed">
        <color rgb="FF00CCFF"/>
      </right>
      <top style="dashed">
        <color rgb="FF00CCFF"/>
      </top>
      <bottom style="medium">
        <color rgb="FF00CCFF"/>
      </bottom>
      <diagonal/>
    </border>
    <border>
      <left style="dashed">
        <color rgb="FF00CCFF"/>
      </left>
      <right style="dashed">
        <color rgb="FF00CCFF"/>
      </right>
      <top style="dashed">
        <color rgb="FF00CCFF"/>
      </top>
      <bottom style="medium">
        <color rgb="FF00CCFF"/>
      </bottom>
      <diagonal/>
    </border>
    <border>
      <left style="dashed">
        <color rgb="FF00CCFF"/>
      </left>
      <right style="medium">
        <color rgb="FF00CCFF"/>
      </right>
      <top style="medium">
        <color rgb="FF00B0F0"/>
      </top>
      <bottom style="dashed">
        <color rgb="FF00CCFF"/>
      </bottom>
      <diagonal/>
    </border>
    <border>
      <left style="dashed">
        <color rgb="FF00CCFF"/>
      </left>
      <right style="medium">
        <color rgb="FF00CCFF"/>
      </right>
      <top style="dashed">
        <color rgb="FF00CCFF"/>
      </top>
      <bottom style="dashed">
        <color rgb="FF00CCFF"/>
      </bottom>
      <diagonal/>
    </border>
    <border>
      <left style="dashed">
        <color rgb="FF00CCFF"/>
      </left>
      <right style="medium">
        <color rgb="FF00CCFF"/>
      </right>
      <top style="dashed">
        <color rgb="FF00CCFF"/>
      </top>
      <bottom style="medium">
        <color rgb="FF00CCFF"/>
      </bottom>
      <diagonal/>
    </border>
    <border>
      <left style="medium">
        <color auto="1"/>
      </left>
      <right style="dashed">
        <color rgb="FF00CCFF"/>
      </right>
      <top style="medium">
        <color auto="1"/>
      </top>
      <bottom style="medium">
        <color auto="1"/>
      </bottom>
      <diagonal/>
    </border>
    <border>
      <left/>
      <right style="dashed">
        <color rgb="FF00CCFF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rgb="FF00CCFF"/>
      </right>
      <top style="dashed">
        <color rgb="FF00CCFF"/>
      </top>
      <bottom style="dashed">
        <color rgb="FF00CCFF"/>
      </bottom>
      <diagonal/>
    </border>
    <border>
      <left/>
      <right style="dashed">
        <color rgb="FF00CCFF"/>
      </right>
      <top style="dashed">
        <color rgb="FF00CCFF"/>
      </top>
      <bottom/>
      <diagonal/>
    </border>
    <border>
      <left style="medium">
        <color auto="1"/>
      </left>
      <right style="dashed">
        <color rgb="FF00CCFF"/>
      </right>
      <top style="dashed">
        <color rgb="FF00CCFF"/>
      </top>
      <bottom style="medium">
        <color auto="1"/>
      </bottom>
      <diagonal/>
    </border>
    <border>
      <left/>
      <right style="dashed">
        <color rgb="FF00CCFF"/>
      </right>
      <top style="dashed">
        <color rgb="FF00CCFF"/>
      </top>
      <bottom style="medium">
        <color auto="1"/>
      </bottom>
      <diagonal/>
    </border>
    <border>
      <left style="dashed">
        <color rgb="FF00CCFF"/>
      </left>
      <right style="dashed">
        <color rgb="FF00CCFF"/>
      </right>
      <top style="medium">
        <color auto="1"/>
      </top>
      <bottom style="medium">
        <color auto="1"/>
      </bottom>
      <diagonal/>
    </border>
    <border>
      <left/>
      <right style="dashed">
        <color rgb="FF00CCFF"/>
      </right>
      <top/>
      <bottom style="dashed">
        <color rgb="FF00CCFF"/>
      </bottom>
      <diagonal/>
    </border>
    <border>
      <left style="dashed">
        <color rgb="FF00CCFF"/>
      </left>
      <right style="dashed">
        <color rgb="FF00CCFF"/>
      </right>
      <top style="dashed">
        <color rgb="FF00CCFF"/>
      </top>
      <bottom/>
      <diagonal/>
    </border>
    <border>
      <left/>
      <right style="dashed">
        <color rgb="FF00CCFF"/>
      </right>
      <top style="dashed">
        <color rgb="FF00CCFF"/>
      </top>
      <bottom style="dashed">
        <color rgb="FF00CCFF"/>
      </bottom>
      <diagonal/>
    </border>
    <border>
      <left style="dashed">
        <color rgb="FF00CCFF"/>
      </left>
      <right style="dashed">
        <color rgb="FF00CCFF"/>
      </right>
      <top style="dashed">
        <color rgb="FF00CCFF"/>
      </top>
      <bottom style="medium">
        <color auto="1"/>
      </bottom>
      <diagonal/>
    </border>
    <border>
      <left style="dashed">
        <color rgb="FF00CCFF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rgb="FF00CCFF"/>
      </left>
      <right style="medium">
        <color auto="1"/>
      </right>
      <top style="dashed">
        <color rgb="FF00CCFF"/>
      </top>
      <bottom style="dashed">
        <color rgb="FF00CCFF"/>
      </bottom>
      <diagonal/>
    </border>
    <border>
      <left style="dashed">
        <color rgb="FF00CCFF"/>
      </left>
      <right/>
      <top style="dashed">
        <color rgb="FF00CCFF"/>
      </top>
      <bottom/>
      <diagonal/>
    </border>
    <border>
      <left style="dashed">
        <color rgb="FF00CCFF"/>
      </left>
      <right style="medium">
        <color auto="1"/>
      </right>
      <top style="dashed">
        <color rgb="FF00CCFF"/>
      </top>
      <bottom/>
      <diagonal/>
    </border>
    <border>
      <left style="dashed">
        <color rgb="FF00CCFF"/>
      </left>
      <right/>
      <top style="dashed">
        <color rgb="FF00CCFF"/>
      </top>
      <bottom style="medium">
        <color auto="1"/>
      </bottom>
      <diagonal/>
    </border>
    <border>
      <left style="dashed">
        <color rgb="FF00CCFF"/>
      </left>
      <right style="medium">
        <color auto="1"/>
      </right>
      <top style="dashed">
        <color rgb="FF00CCFF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0" fontId="0" fillId="0" borderId="0">
      <alignment vertical="center"/>
    </xf>
    <xf numFmtId="0" fontId="40" fillId="0" borderId="0">
      <alignment vertical="center"/>
    </xf>
    <xf numFmtId="0" fontId="24" fillId="33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9" fillId="42" borderId="36" applyNumberFormat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36" fillId="26" borderId="36" applyNumberFormat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2" fillId="29" borderId="34" applyNumberFormat="0" applyAlignment="0" applyProtection="0">
      <alignment vertical="center"/>
    </xf>
    <xf numFmtId="0" fontId="31" fillId="26" borderId="33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39" borderId="37" applyNumberFormat="0" applyFont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/>
    <xf numFmtId="0" fontId="23" fillId="0" borderId="31" applyNumberFormat="0" applyFill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0" borderId="30" applyNumberFormat="0" applyFill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0" xfId="47" applyAlignment="1">
      <alignment vertical="center"/>
    </xf>
    <xf numFmtId="0" fontId="1" fillId="0" borderId="0" xfId="47" applyFont="1"/>
    <xf numFmtId="0" fontId="2" fillId="2" borderId="1" xfId="47" applyFont="1" applyFill="1" applyBorder="1" applyAlignment="1">
      <alignment horizontal="center" vertical="center" wrapText="1"/>
    </xf>
    <xf numFmtId="0" fontId="3" fillId="3" borderId="1" xfId="47" applyFont="1" applyFill="1" applyBorder="1" applyAlignment="1">
      <alignment horizontal="center" vertical="center" wrapText="1"/>
    </xf>
    <xf numFmtId="0" fontId="4" fillId="0" borderId="1" xfId="47" applyFont="1" applyBorder="1" applyAlignment="1">
      <alignment horizontal="left" vertical="center" wrapText="1"/>
    </xf>
    <xf numFmtId="0" fontId="4" fillId="0" borderId="1" xfId="47" applyFont="1" applyBorder="1" applyAlignment="1">
      <alignment horizontal="center" vertical="center" wrapText="1"/>
    </xf>
    <xf numFmtId="0" fontId="3" fillId="4" borderId="1" xfId="47" applyFont="1" applyFill="1" applyBorder="1" applyAlignment="1">
      <alignment horizontal="center" vertical="center" wrapText="1"/>
    </xf>
    <xf numFmtId="0" fontId="5" fillId="5" borderId="1" xfId="47" applyFont="1" applyFill="1" applyBorder="1" applyAlignment="1">
      <alignment horizontal="center" vertical="center" wrapText="1"/>
    </xf>
    <xf numFmtId="0" fontId="5" fillId="6" borderId="1" xfId="47" applyFont="1" applyFill="1" applyBorder="1" applyAlignment="1">
      <alignment horizontal="center" vertical="center" wrapText="1"/>
    </xf>
    <xf numFmtId="0" fontId="2" fillId="3" borderId="1" xfId="47" applyFont="1" applyFill="1" applyBorder="1" applyAlignment="1">
      <alignment horizontal="center" vertical="center" wrapText="1"/>
    </xf>
    <xf numFmtId="0" fontId="2" fillId="4" borderId="1" xfId="47" applyFont="1" applyFill="1" applyBorder="1" applyAlignment="1">
      <alignment horizontal="center" vertical="center" wrapText="1"/>
    </xf>
    <xf numFmtId="0" fontId="6" fillId="5" borderId="1" xfId="47" applyFont="1" applyFill="1" applyBorder="1" applyAlignment="1">
      <alignment horizontal="center" vertical="center" wrapText="1"/>
    </xf>
    <xf numFmtId="0" fontId="6" fillId="6" borderId="1" xfId="47" applyFont="1" applyFill="1" applyBorder="1" applyAlignment="1">
      <alignment horizontal="center" vertical="center" wrapText="1"/>
    </xf>
    <xf numFmtId="0" fontId="5" fillId="7" borderId="1" xfId="47" applyFont="1" applyFill="1" applyBorder="1" applyAlignment="1">
      <alignment horizontal="center" vertical="center" wrapText="1"/>
    </xf>
    <xf numFmtId="0" fontId="5" fillId="8" borderId="1" xfId="47" applyFont="1" applyFill="1" applyBorder="1" applyAlignment="1">
      <alignment horizontal="center" vertical="center" wrapText="1"/>
    </xf>
    <xf numFmtId="0" fontId="7" fillId="3" borderId="1" xfId="47" applyFont="1" applyFill="1" applyBorder="1" applyAlignment="1">
      <alignment horizontal="center" vertical="center" wrapText="1"/>
    </xf>
    <xf numFmtId="0" fontId="7" fillId="4" borderId="1" xfId="47" applyFont="1" applyFill="1" applyBorder="1" applyAlignment="1">
      <alignment horizontal="center" vertical="center" wrapText="1"/>
    </xf>
    <xf numFmtId="0" fontId="8" fillId="5" borderId="1" xfId="47" applyFont="1" applyFill="1" applyBorder="1" applyAlignment="1">
      <alignment horizontal="center" vertical="center" wrapText="1"/>
    </xf>
    <xf numFmtId="0" fontId="8" fillId="6" borderId="1" xfId="47" applyFont="1" applyFill="1" applyBorder="1" applyAlignment="1">
      <alignment horizontal="center" vertical="center" wrapText="1"/>
    </xf>
    <xf numFmtId="0" fontId="9" fillId="0" borderId="0" xfId="47" applyFont="1"/>
    <xf numFmtId="0" fontId="2" fillId="2" borderId="1" xfId="47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9" borderId="2" xfId="1" applyFont="1" applyFill="1" applyBorder="1" applyAlignment="1">
      <alignment vertical="center" wrapText="1"/>
    </xf>
    <xf numFmtId="0" fontId="10" fillId="9" borderId="3" xfId="1" applyFont="1" applyFill="1" applyBorder="1" applyAlignment="1">
      <alignment vertical="center" wrapText="1"/>
    </xf>
    <xf numFmtId="0" fontId="10" fillId="9" borderId="3" xfId="1" applyFont="1" applyFill="1" applyBorder="1" applyAlignment="1">
      <alignment horizontal="center" vertical="center" wrapText="1"/>
    </xf>
    <xf numFmtId="0" fontId="10" fillId="10" borderId="4" xfId="1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 wrapText="1"/>
    </xf>
    <xf numFmtId="0" fontId="12" fillId="12" borderId="6" xfId="1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2" fillId="12" borderId="8" xfId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9" borderId="3" xfId="1" applyFont="1" applyFill="1" applyBorder="1" applyAlignment="1">
      <alignment vertical="center" wrapText="1"/>
    </xf>
    <xf numFmtId="14" fontId="13" fillId="0" borderId="7" xfId="0" applyNumberFormat="1" applyFont="1" applyBorder="1" applyAlignment="1">
      <alignment horizontal="center" vertical="center" wrapText="1"/>
    </xf>
    <xf numFmtId="14" fontId="13" fillId="0" borderId="9" xfId="0" applyNumberFormat="1" applyFont="1" applyBorder="1" applyAlignment="1">
      <alignment horizontal="center" vertical="center" wrapText="1"/>
    </xf>
    <xf numFmtId="14" fontId="13" fillId="13" borderId="7" xfId="0" applyNumberFormat="1" applyFont="1" applyFill="1" applyBorder="1" applyAlignment="1">
      <alignment horizontal="center" vertical="center" wrapText="1"/>
    </xf>
    <xf numFmtId="0" fontId="13" fillId="13" borderId="7" xfId="0" applyFont="1" applyFill="1" applyBorder="1" applyAlignment="1">
      <alignment horizontal="left" vertical="center" wrapText="1"/>
    </xf>
    <xf numFmtId="14" fontId="13" fillId="13" borderId="9" xfId="0" applyNumberFormat="1" applyFont="1" applyFill="1" applyBorder="1" applyAlignment="1">
      <alignment horizontal="center" vertical="center" wrapText="1"/>
    </xf>
    <xf numFmtId="0" fontId="13" fillId="13" borderId="9" xfId="0" applyFont="1" applyFill="1" applyBorder="1" applyAlignment="1">
      <alignment horizontal="left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13" fillId="13" borderId="11" xfId="0" applyFont="1" applyFill="1" applyBorder="1" applyAlignment="1">
      <alignment horizontal="left" vertical="center" wrapText="1"/>
    </xf>
    <xf numFmtId="0" fontId="13" fillId="13" borderId="12" xfId="0" applyFont="1" applyFill="1" applyBorder="1" applyAlignment="1">
      <alignment horizontal="left" vertical="center" wrapText="1"/>
    </xf>
    <xf numFmtId="0" fontId="15" fillId="14" borderId="0" xfId="0" applyFont="1" applyFill="1">
      <alignment vertical="center"/>
    </xf>
    <xf numFmtId="0" fontId="15" fillId="15" borderId="0" xfId="0" applyFont="1" applyFill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  <xf numFmtId="0" fontId="16" fillId="0" borderId="0" xfId="0" applyFont="1">
      <alignment vertical="center"/>
    </xf>
    <xf numFmtId="0" fontId="17" fillId="15" borderId="0" xfId="0" applyFont="1" applyFill="1">
      <alignment vertical="center"/>
    </xf>
    <xf numFmtId="0" fontId="18" fillId="0" borderId="0" xfId="0" applyFont="1">
      <alignment vertical="center"/>
    </xf>
    <xf numFmtId="0" fontId="10" fillId="10" borderId="13" xfId="1" applyFont="1" applyFill="1" applyBorder="1" applyAlignment="1">
      <alignment horizontal="center" vertical="center" wrapText="1"/>
    </xf>
    <xf numFmtId="0" fontId="10" fillId="10" borderId="14" xfId="1" applyFont="1" applyFill="1" applyBorder="1" applyAlignment="1">
      <alignment horizontal="center" vertical="center" wrapText="1"/>
    </xf>
    <xf numFmtId="0" fontId="12" fillId="12" borderId="15" xfId="1" applyFont="1" applyFill="1" applyBorder="1" applyAlignment="1">
      <alignment horizontal="center" vertical="center" wrapText="1"/>
    </xf>
    <xf numFmtId="0" fontId="12" fillId="12" borderId="16" xfId="1" applyFont="1" applyFill="1" applyBorder="1" applyAlignment="1">
      <alignment horizontal="center" vertical="center" wrapText="1"/>
    </xf>
    <xf numFmtId="0" fontId="12" fillId="12" borderId="17" xfId="1" applyFont="1" applyFill="1" applyBorder="1" applyAlignment="1">
      <alignment horizontal="center" vertical="center" wrapText="1"/>
    </xf>
    <xf numFmtId="0" fontId="12" fillId="12" borderId="18" xfId="1" applyFont="1" applyFill="1" applyBorder="1" applyAlignment="1">
      <alignment horizontal="center" vertical="center" wrapText="1"/>
    </xf>
    <xf numFmtId="0" fontId="19" fillId="10" borderId="14" xfId="43" applyFont="1" applyFill="1" applyBorder="1" applyAlignment="1">
      <alignment horizontal="center" vertical="center" wrapText="1"/>
    </xf>
    <xf numFmtId="0" fontId="11" fillId="11" borderId="19" xfId="0" applyFont="1" applyFill="1" applyBorder="1" applyAlignment="1">
      <alignment horizontal="center" vertical="center" wrapText="1"/>
    </xf>
    <xf numFmtId="0" fontId="20" fillId="16" borderId="20" xfId="1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20" fillId="16" borderId="22" xfId="1" applyFont="1" applyFill="1" applyBorder="1" applyAlignment="1">
      <alignment horizontal="center" vertical="center" wrapText="1"/>
    </xf>
    <xf numFmtId="0" fontId="12" fillId="16" borderId="18" xfId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194" fontId="13" fillId="0" borderId="21" xfId="0" applyNumberFormat="1" applyFont="1" applyBorder="1" applyAlignment="1">
      <alignment horizontal="center" vertical="center" wrapText="1"/>
    </xf>
    <xf numFmtId="14" fontId="13" fillId="0" borderId="21" xfId="0" applyNumberFormat="1" applyFont="1" applyBorder="1" applyAlignment="1">
      <alignment horizontal="center" vertical="center" wrapText="1"/>
    </xf>
    <xf numFmtId="194" fontId="13" fillId="0" borderId="23" xfId="0" applyNumberFormat="1" applyFont="1" applyBorder="1" applyAlignment="1">
      <alignment horizontal="center" vertical="center" wrapText="1"/>
    </xf>
    <xf numFmtId="0" fontId="11" fillId="11" borderId="24" xfId="0" applyFont="1" applyFill="1" applyBorder="1" applyAlignment="1">
      <alignment horizontal="center" vertical="center" wrapText="1"/>
    </xf>
    <xf numFmtId="14" fontId="13" fillId="13" borderId="21" xfId="0" applyNumberFormat="1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14" fontId="13" fillId="13" borderId="26" xfId="0" applyNumberFormat="1" applyFont="1" applyFill="1" applyBorder="1" applyAlignment="1">
      <alignment horizontal="center" vertical="center" wrapText="1"/>
    </xf>
    <xf numFmtId="0" fontId="13" fillId="13" borderId="27" xfId="0" applyFont="1" applyFill="1" applyBorder="1" applyAlignment="1">
      <alignment horizontal="left" vertical="center" wrapText="1"/>
    </xf>
    <xf numFmtId="14" fontId="13" fillId="13" borderId="23" xfId="0" applyNumberFormat="1" applyFont="1" applyFill="1" applyBorder="1" applyAlignment="1">
      <alignment horizontal="center" vertical="center" wrapText="1"/>
    </xf>
    <xf numFmtId="14" fontId="13" fillId="13" borderId="28" xfId="0" applyNumberFormat="1" applyFont="1" applyFill="1" applyBorder="1" applyAlignment="1">
      <alignment horizontal="center" vertical="center" wrapText="1"/>
    </xf>
    <xf numFmtId="0" fontId="13" fillId="13" borderId="29" xfId="0" applyFont="1" applyFill="1" applyBorder="1" applyAlignment="1">
      <alignment vertical="center" wrapText="1"/>
    </xf>
    <xf numFmtId="0" fontId="11" fillId="11" borderId="13" xfId="0" applyFont="1" applyFill="1" applyBorder="1" applyAlignment="1">
      <alignment horizontal="center" vertical="center" wrapText="1"/>
    </xf>
    <xf numFmtId="38" fontId="13" fillId="0" borderId="15" xfId="0" applyNumberFormat="1" applyFont="1" applyBorder="1" applyAlignment="1">
      <alignment horizontal="center" vertical="center" wrapText="1"/>
    </xf>
    <xf numFmtId="38" fontId="13" fillId="0" borderId="7" xfId="0" applyNumberFormat="1" applyFont="1" applyBorder="1" applyAlignment="1">
      <alignment horizontal="center" vertical="center" wrapText="1"/>
    </xf>
    <xf numFmtId="38" fontId="13" fillId="0" borderId="25" xfId="0" applyNumberFormat="1" applyFont="1" applyBorder="1" applyAlignment="1">
      <alignment horizontal="center" vertical="center" wrapText="1"/>
    </xf>
    <xf numFmtId="38" fontId="13" fillId="0" borderId="17" xfId="0" applyNumberFormat="1" applyFont="1" applyBorder="1" applyAlignment="1">
      <alignment horizontal="center" vertical="center" wrapText="1"/>
    </xf>
    <xf numFmtId="38" fontId="13" fillId="0" borderId="23" xfId="0" applyNumberFormat="1" applyFont="1" applyBorder="1" applyAlignment="1">
      <alignment horizontal="center" vertical="center" wrapText="1"/>
    </xf>
    <xf numFmtId="38" fontId="13" fillId="0" borderId="29" xfId="0" applyNumberFormat="1" applyFont="1" applyBorder="1" applyAlignment="1">
      <alignment horizontal="center" vertical="center" wrapText="1"/>
    </xf>
    <xf numFmtId="0" fontId="0" fillId="0" borderId="0" xfId="0" quotePrefix="1">
      <alignment vertical="center"/>
    </xf>
    <xf numFmtId="0" fontId="0" fillId="0" borderId="0" xfId="0" applyFont="1" applyAlignment="1" quotePrefix="1">
      <alignment horizontal="left" vertical="center"/>
    </xf>
  </cellXfs>
  <cellStyles count="52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常规 2 4" xfId="41"/>
    <cellStyle name="40% - 强调文字颜色 6" xfId="42" builtinId="51"/>
    <cellStyle name="超链接" xfId="43" builtinId="8"/>
    <cellStyle name="千位分隔[0]" xfId="44" builtinId="6"/>
    <cellStyle name="标题 2" xfId="45" builtinId="17"/>
    <cellStyle name="40% - 强调文字颜色 5" xfId="46" builtinId="47"/>
    <cellStyle name="Normal 2" xfId="47"/>
    <cellStyle name="标题 3" xfId="48" builtinId="18"/>
    <cellStyle name="强调文字颜色 6" xfId="49" builtinId="49"/>
    <cellStyle name="40% - 强调文字颜色 1" xfId="50" builtinId="31"/>
    <cellStyle name="链接单元格" xfId="51" builtinId="24"/>
  </cellStyles>
  <dxfs count="3">
    <dxf>
      <font>
        <color rgb="FFFF0000"/>
      </font>
    </dxf>
    <dxf>
      <font>
        <color theme="8" tint="-0.249946592608417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customXml" Target="../customXml/item2.xml"/><Relationship Id="rId22" Type="http://schemas.openxmlformats.org/officeDocument/2006/relationships/customXml" Target="../customXml/item1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9.xml"/><Relationship Id="rId16" Type="http://schemas.openxmlformats.org/officeDocument/2006/relationships/externalLink" Target="externalLinks/externalLink8.xml"/><Relationship Id="rId15" Type="http://schemas.openxmlformats.org/officeDocument/2006/relationships/externalLink" Target="externalLinks/externalLink7.xml"/><Relationship Id="rId14" Type="http://schemas.openxmlformats.org/officeDocument/2006/relationships/externalLink" Target="externalLinks/externalLink6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/172.25.2.67/dms&#24378;&#21270;/temp/Documents and Settings/Administrator/Local Settings/Temporary Internet Files/OLK2A12/NCIC_SystemArchitecture_Desig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/Work/MES&#26989;&#21209;/&#12469;&#12452;&#12488;/&#26085;&#29987;&#20013;&#22269;/&#35211;&#31309;/&#31532;4&#22238;&#35211;&#31309;/MES&#35211;&#31309;/Work/MES&#26989;&#21209;/&#12469;&#12452;&#12488;/NMEX/&#35211;&#31309;/&#21516;&#26399;&#29983;&#29987;&#25913;&#36896;-&#31532;2&#27573;/&#25552;&#20986;&#29256;/&#35211;&#31309;&#35443;&#32048;/NMEX_DOUKI_QuotationDeta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/172.25.2.67/dms&#24378;&#21270;/temp/Resource Center/Tools/vss2004/temp/HWIT-CMM IPM T09-Project Estimation Table&#65288;&#26041;&#27861;&#19968;&#65289; V1.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/imcbackup/&#29983;&#20135;&#31649;&#29702;/Documents and Settings/jishx/Local Settings/Temporary Internet Files/OLK1072/&#31649;&#29702;&#22521;&#35757;&#25945;&#26448;/&#38656;&#27714;&#31649;&#29702;&#29992;&#34920;&#27169;&#2925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/Tsuchikawa/olive/&#21513;&#23500;&#20061;&#24030;/&#35211;&#31309;/&#35211;&#31309;&#26360;/&#24773;&#36890;/&#65332;&#65298;&#652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/Tsuchikawa/olive/&#21513;&#23500;&#20061;&#24030;/&#35211;&#31309;/&#35211;&#31309;&#26360;/&#24773;&#36890;/&#65320;&#65304;&#6529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/imcbackup/&#29983;&#20135;&#31649;&#29702;/Documents and Settings/Dick/Local Settings/Temporary Internet Files/Content.IE5/3F1BRX0W/&#38656;&#27714;&#27169;&#26495;/&#38656;&#27714;&#36319;&#36394;&#30697;&#38453;&#27169;&#2925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/172.26.229.171/&#20849;&#20139;&#25991;&#26723;/DOCUME~1/Dick/LOCALS~1/Temp/Rar$DI00.990/&#38656;&#27714;&#31649;&#29702;&#29992;&#34920;&#27169;&#2925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/172.25.2.67/dms&#24378;&#21270;/temp/&#39033;&#30446;&#31649;&#29702;&#35268;&#33539;/4_&#25903;&#25345;&#36807;&#31243;/46_&#36136;&#37327;&#20445;&#35777;/1_&#27169;&#26495;/QA&#24037;&#20316;&#25163;&#20876;&#65288;&#36719;&#20214;&#6528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/172.25.2.67/dms&#24378;&#21270;/temp/CMMI/Working Folder/&#36807;&#31243;&#20462;&#35746;/46_&#36136;&#37327;&#20445;&#35777;/1_&#27169;&#26495;/&#36136;&#37327;&#20445;&#35777;&#24037;&#20316;&#34920;_&#27169;&#2649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/172.25.2.67/dms&#24378;&#21270;/temp/KPI &#31649;&#29702;/&#22235;&#23395;&#24230;KPI&#32771;&#26680;/&#39033;&#30446;&#35745;&#21010;&#36981;&#24490;/&#39033;&#30446;&#36981;&#24490;&#35745;&#21010;-&#23457;&#3574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Index"/>
      <sheetName val="System Architecture"/>
      <sheetName val="Server Configuration"/>
      <sheetName val="Mapping of Subsystem"/>
      <sheetName val="DataFlow among the Subsystem"/>
      <sheetName val="Subsystem Instance"/>
      <sheetName val="Release Process"/>
      <sheetName val="DataFlow-PO&amp;SO"/>
      <sheetName val="Dataflow Samp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Quote"/>
      <sheetName val="Condition"/>
      <sheetName val="Schedule"/>
      <sheetName val="Hardware Detail"/>
      <sheetName val="Douki Modify(Tracking Layout)"/>
      <sheetName val="PBS Modify(Layout &amp; Logic)"/>
      <sheetName val="Unit"/>
      <sheetName val="機能積上げ"/>
      <sheetName val="TRW"/>
      <sheetName val="Commissioning"/>
      <sheetName val="大同信号現調"/>
      <sheetName val="ハードウェア"/>
      <sheetName val="テスト環境構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1 基本信息"/>
      <sheetName val="02 参考依据"/>
      <sheetName val="03 工作分解"/>
      <sheetName val="04 一轮估算"/>
      <sheetName val="05 二轮估算"/>
      <sheetName val="06 三轮估算"/>
      <sheetName val="07 估算汇总"/>
      <sheetName val="08 工作量分解"/>
      <sheetName val="09 工作量模型"/>
      <sheetName val="Sche Estimation"/>
      <sheetName val="Estimate Track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需求项清单"/>
      <sheetName val="Sheet3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Ｔ２１"/>
    </sheetNames>
    <definedNames>
      <definedName name="Module1.TOKUCHG"/>
      <definedName name="TOKUCHG2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Ｈ８０"/>
    </sheetNames>
    <definedNames>
      <definedName name="Module1.TOKUCHG2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需求项清单"/>
      <sheetName val="需求项跟踪表"/>
      <sheetName val="Sheet3"/>
    </sheetNames>
    <sheetDataSet>
      <sheetData sheetId="0" refreshError="1"/>
      <sheetData sheetId="1" refreshError="1"/>
      <sheetData sheetId="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需求项清单"/>
      <sheetName val="需求项跟踪表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 "/>
      <sheetName val="填表说明"/>
      <sheetName val="文档修改控制页"/>
      <sheetName val="阶段活动检查表"/>
      <sheetName val="独立活动检查表"/>
      <sheetName val="QA检查报告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模板封面"/>
      <sheetName val="目录"/>
      <sheetName val="项目审计情况报告"/>
      <sheetName val="阶段活动检查表"/>
      <sheetName val="独立活动检查表"/>
      <sheetName val="质量问题跟踪表"/>
      <sheetName val="不符合问题处理报告"/>
      <sheetName val="项目质量度量报告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产品二部"/>
      <sheetName val="产品一部"/>
      <sheetName val="网络"/>
      <sheetName val="统计表"/>
      <sheetName val="数据源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4.25"/>
  <cols>
    <col min="2" max="2" width="19.75" customWidth="1"/>
    <col min="3" max="3" width="15.775" customWidth="1"/>
    <col min="4" max="6" width="15.8833333333333" customWidth="1"/>
    <col min="7" max="7" width="15.5583333333333" customWidth="1"/>
    <col min="8" max="8" width="38.2166666666667" customWidth="1"/>
    <col min="9" max="9" width="22.3333333333333" customWidth="1"/>
    <col min="10" max="10" width="24.8833333333333" customWidth="1"/>
    <col min="11" max="11" width="11.2166666666667" customWidth="1"/>
    <col min="12" max="12" width="13.2166666666667" customWidth="1"/>
    <col min="13" max="13" width="14.6666666666667" customWidth="1"/>
    <col min="14" max="14" width="13.2166666666667" customWidth="1"/>
    <col min="15" max="16" width="18.3333333333333" customWidth="1"/>
    <col min="17" max="17" width="16.6666666666667" customWidth="1"/>
    <col min="18" max="18" width="20.3333333333333" customWidth="1"/>
    <col min="19" max="19" width="26.4416666666667" customWidth="1"/>
    <col min="20" max="20" width="23.1083333333333" customWidth="1"/>
    <col min="21" max="21" width="16.1083333333333" customWidth="1"/>
    <col min="22" max="22" width="15.2166666666667" customWidth="1"/>
    <col min="23" max="23" width="15.4416666666667" customWidth="1"/>
  </cols>
  <sheetData>
    <row r="1" ht="29.25" spans="1:23">
      <c r="A1" s="50" t="s">
        <v>0</v>
      </c>
      <c r="B1" s="51" t="s">
        <v>1</v>
      </c>
      <c r="C1" s="51" t="s">
        <v>2</v>
      </c>
      <c r="D1" s="51" t="s">
        <v>3</v>
      </c>
      <c r="E1" s="56" t="s">
        <v>4</v>
      </c>
      <c r="F1" s="56" t="s">
        <v>5</v>
      </c>
      <c r="G1" s="56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66" t="s">
        <v>19</v>
      </c>
      <c r="U1" s="74" t="s">
        <v>20</v>
      </c>
      <c r="V1" s="57" t="s">
        <v>21</v>
      </c>
      <c r="W1" s="66" t="s">
        <v>22</v>
      </c>
    </row>
    <row r="2" ht="37.2" customHeight="1" spans="1:23">
      <c r="A2" s="52">
        <f>ROW()-1</f>
        <v>1</v>
      </c>
      <c r="B2" s="53" t="s">
        <v>23</v>
      </c>
      <c r="C2" s="53" t="s">
        <v>24</v>
      </c>
      <c r="D2" s="53" t="s">
        <v>25</v>
      </c>
      <c r="E2" s="53" t="s">
        <v>26</v>
      </c>
      <c r="F2" s="53" t="s">
        <v>26</v>
      </c>
      <c r="G2" s="58" t="e">
        <f t="array" ref="G2">IF(OR(E2="",F2=""),"",_xlfn.LET(_xlpm.impact,_xlfn.TEXTAFTER(E2,"-"),_xlpm.urgency,_xlfn.TEXTAFTER(F2,"-"),_xlpm.p,INDEX(优先级矩阵!$B$4:$D$6,MATCH(_xlpm.impact,{"高","中","低"},0),MATCH(_xlpm.urgency,{"高","中","低"},0)),LEFT(E2,FIND("-",E2)-1)&amp;"-"&amp;_xlpm.p&amp;"-"&amp;_xlfn.XLOOKUP(_xlpm.p,优先级定义与SLA!$A$4:$A$7,_xlfn.TEXTBEFORE(优先级定义与SLA!$B$4:$B$7," "))))</f>
        <v>#NAME?</v>
      </c>
      <c r="H2" s="59" t="s">
        <v>27</v>
      </c>
      <c r="I2" s="59" t="s">
        <v>28</v>
      </c>
      <c r="J2" s="53" t="s">
        <v>29</v>
      </c>
      <c r="K2" s="59" t="s">
        <v>30</v>
      </c>
      <c r="L2" s="59" t="s">
        <v>31</v>
      </c>
      <c r="M2" s="63">
        <v>46258</v>
      </c>
      <c r="N2" s="59" t="s">
        <v>32</v>
      </c>
      <c r="O2" s="59" t="s">
        <v>33</v>
      </c>
      <c r="P2" s="63">
        <v>46259</v>
      </c>
      <c r="Q2" s="63">
        <v>46272</v>
      </c>
      <c r="R2" s="67">
        <v>46272</v>
      </c>
      <c r="S2" s="29" t="s">
        <v>34</v>
      </c>
      <c r="T2" s="68"/>
      <c r="U2" s="75">
        <f>P2-M2</f>
        <v>1</v>
      </c>
      <c r="V2" s="76">
        <f>Q2-R2</f>
        <v>0</v>
      </c>
      <c r="W2" s="77">
        <f>R2-M2</f>
        <v>14</v>
      </c>
    </row>
    <row r="3" ht="37.2" customHeight="1" spans="1:23">
      <c r="A3" s="52">
        <f>ROW()-1</f>
        <v>2</v>
      </c>
      <c r="B3" s="53" t="s">
        <v>35</v>
      </c>
      <c r="C3" s="53" t="s">
        <v>36</v>
      </c>
      <c r="D3" s="53" t="s">
        <v>37</v>
      </c>
      <c r="E3" s="53" t="s">
        <v>38</v>
      </c>
      <c r="F3" s="53" t="s">
        <v>39</v>
      </c>
      <c r="G3" s="58" t="e">
        <f t="array" ref="G3">IF(OR(E3="",F3=""),"",_xlfn.LET(_xlpm.impact,_xlfn.TEXTAFTER(E3,"-"),_xlpm.urgency,_xlfn.TEXTAFTER(F3,"-"),_xlpm.p,INDEX(优先级矩阵!$B$4:$D$6,MATCH(_xlpm.impact,{"高","中","低"},0),MATCH(_xlpm.urgency,{"高","中","低"},0)),LEFT(E3,FIND("-",E3)-1)&amp;"-"&amp;_xlpm.p&amp;"-"&amp;_xlfn.XLOOKUP(_xlpm.p,优先级定义与SLA!$A$4:$A$7,_xlfn.TEXTBEFORE(优先级定义与SLA!$B$4:$B$7," "))))</f>
        <v>#NAME?</v>
      </c>
      <c r="H3" s="59" t="s">
        <v>40</v>
      </c>
      <c r="I3" s="59" t="s">
        <v>41</v>
      </c>
      <c r="J3" s="53" t="s">
        <v>42</v>
      </c>
      <c r="K3" s="59" t="s">
        <v>43</v>
      </c>
      <c r="L3" s="59" t="s">
        <v>44</v>
      </c>
      <c r="M3" s="63">
        <v>46267</v>
      </c>
      <c r="N3" s="59" t="s">
        <v>45</v>
      </c>
      <c r="O3" s="59" t="s">
        <v>33</v>
      </c>
      <c r="P3" s="64">
        <v>46261</v>
      </c>
      <c r="Q3" s="64">
        <v>46267</v>
      </c>
      <c r="R3" s="67">
        <v>46267</v>
      </c>
      <c r="S3" s="29" t="s">
        <v>46</v>
      </c>
      <c r="T3" s="68"/>
      <c r="U3" s="75">
        <v>3</v>
      </c>
      <c r="V3" s="76">
        <v>7</v>
      </c>
      <c r="W3" s="77">
        <v>7</v>
      </c>
    </row>
    <row r="4" ht="37.2" customHeight="1" spans="1:23">
      <c r="A4" s="52">
        <f>ROW()-1</f>
        <v>3</v>
      </c>
      <c r="B4" s="53" t="s">
        <v>35</v>
      </c>
      <c r="C4" s="53" t="s">
        <v>36</v>
      </c>
      <c r="D4" s="53" t="s">
        <v>37</v>
      </c>
      <c r="E4" s="53" t="s">
        <v>38</v>
      </c>
      <c r="F4" s="53" t="s">
        <v>38</v>
      </c>
      <c r="G4" s="58" t="e">
        <f t="array" ref="G4">IF(OR(E4="",F4=""),"",_xlfn.LET(_xlpm.impact,_xlfn.TEXTAFTER(E4,"-"),_xlpm.urgency,_xlfn.TEXTAFTER(F4,"-"),_xlpm.p,INDEX(优先级矩阵!$B$4:$D$6,MATCH(_xlpm.impact,{"高","中","低"},0),MATCH(_xlpm.urgency,{"高","中","低"},0)),LEFT(E4,FIND("-",E4)-1)&amp;"-"&amp;_xlpm.p&amp;"-"&amp;_xlfn.XLOOKUP(_xlpm.p,优先级定义与SLA!$A$4:$A$7,_xlfn.TEXTBEFORE(优先级定义与SLA!$B$4:$B$7," "))))</f>
        <v>#NAME?</v>
      </c>
      <c r="H4" s="59" t="s">
        <v>47</v>
      </c>
      <c r="I4" s="59" t="s">
        <v>48</v>
      </c>
      <c r="J4" s="53" t="s">
        <v>42</v>
      </c>
      <c r="K4" s="59" t="s">
        <v>49</v>
      </c>
      <c r="L4" s="59" t="s">
        <v>50</v>
      </c>
      <c r="M4" s="63">
        <v>46267</v>
      </c>
      <c r="N4" s="59" t="s">
        <v>45</v>
      </c>
      <c r="O4" s="59" t="s">
        <v>33</v>
      </c>
      <c r="P4" s="64">
        <v>46267</v>
      </c>
      <c r="Q4" s="64">
        <v>46272</v>
      </c>
      <c r="R4" s="64">
        <v>46274</v>
      </c>
      <c r="S4" s="29" t="s">
        <v>51</v>
      </c>
      <c r="T4" s="68" t="s">
        <v>52</v>
      </c>
      <c r="U4" s="75">
        <f>P4-M4</f>
        <v>0</v>
      </c>
      <c r="V4" s="76">
        <f>Q4-R4</f>
        <v>-2</v>
      </c>
      <c r="W4" s="77">
        <f>R4-M4</f>
        <v>7</v>
      </c>
    </row>
    <row r="5" ht="37.2" customHeight="1" spans="1:23">
      <c r="A5" s="52">
        <f>ROW()-1</f>
        <v>4</v>
      </c>
      <c r="B5" s="53" t="s">
        <v>53</v>
      </c>
      <c r="C5" s="53" t="s">
        <v>36</v>
      </c>
      <c r="D5" s="53" t="s">
        <v>25</v>
      </c>
      <c r="E5" s="53" t="s">
        <v>26</v>
      </c>
      <c r="F5" s="53" t="s">
        <v>26</v>
      </c>
      <c r="G5" s="58" t="e">
        <f t="array" ref="G5">IF(OR(E5="",F5=""),"",_xlfn.LET(_xlpm.impact,_xlfn.TEXTAFTER(E5,"-"),_xlpm.urgency,_xlfn.TEXTAFTER(F5,"-"),_xlpm.p,INDEX(优先级矩阵!$B$4:$D$6,MATCH(_xlpm.impact,{"高","中","低"},0),MATCH(_xlpm.urgency,{"高","中","低"},0)),LEFT(E5,FIND("-",E5)-1)&amp;"-"&amp;_xlpm.p&amp;"-"&amp;_xlfn.XLOOKUP(_xlpm.p,优先级定义与SLA!$A$4:$A$7,_xlfn.TEXTBEFORE(优先级定义与SLA!$B$4:$B$7," "))))</f>
        <v>#NAME?</v>
      </c>
      <c r="H5" s="59" t="s">
        <v>54</v>
      </c>
      <c r="I5" s="59" t="s">
        <v>55</v>
      </c>
      <c r="J5" s="53" t="s">
        <v>56</v>
      </c>
      <c r="K5" s="59" t="s">
        <v>57</v>
      </c>
      <c r="L5" s="59" t="s">
        <v>58</v>
      </c>
      <c r="M5" s="63">
        <v>46268</v>
      </c>
      <c r="N5" s="59" t="s">
        <v>45</v>
      </c>
      <c r="O5" s="59" t="s">
        <v>33</v>
      </c>
      <c r="P5" s="64">
        <v>46268</v>
      </c>
      <c r="Q5" s="64">
        <v>46275</v>
      </c>
      <c r="R5" s="64">
        <v>46273</v>
      </c>
      <c r="S5" s="29" t="s">
        <v>59</v>
      </c>
      <c r="T5" s="68" t="s">
        <v>60</v>
      </c>
      <c r="U5" s="75">
        <f>P5-M5</f>
        <v>0</v>
      </c>
      <c r="V5" s="76">
        <f>Q5-R5</f>
        <v>2</v>
      </c>
      <c r="W5" s="77">
        <f>R5-M5</f>
        <v>5</v>
      </c>
    </row>
    <row r="6" ht="37.2" customHeight="1" spans="1:23">
      <c r="A6" s="52">
        <f t="shared" ref="A6:A23" si="0">ROW()-1</f>
        <v>5</v>
      </c>
      <c r="B6" s="53" t="s">
        <v>35</v>
      </c>
      <c r="C6" s="53" t="s">
        <v>61</v>
      </c>
      <c r="D6" s="53" t="s">
        <v>25</v>
      </c>
      <c r="E6" s="53" t="s">
        <v>26</v>
      </c>
      <c r="F6" s="53" t="s">
        <v>39</v>
      </c>
      <c r="G6" s="58" t="e">
        <f t="array" ref="G6">IF(OR(E6="",F6=""),"",_xlfn.LET(_xlpm.impact,_xlfn.TEXTAFTER(E6,"-"),_xlpm.urgency,_xlfn.TEXTAFTER(F6,"-"),_xlpm.p,INDEX(优先级矩阵!$B$4:$D$6,MATCH(_xlpm.impact,{"高","中","低"},0),MATCH(_xlpm.urgency,{"高","中","低"},0)),LEFT(E6,FIND("-",E6)-1)&amp;"-"&amp;_xlpm.p&amp;"-"&amp;_xlfn.XLOOKUP(_xlpm.p,优先级定义与SLA!$A$4:$A$7,_xlfn.TEXTBEFORE(优先级定义与SLA!$B$4:$B$7," "))))</f>
        <v>#NAME?</v>
      </c>
      <c r="H6" s="59" t="s">
        <v>62</v>
      </c>
      <c r="I6" s="59" t="s">
        <v>63</v>
      </c>
      <c r="J6" s="53" t="s">
        <v>64</v>
      </c>
      <c r="K6" s="59" t="s">
        <v>65</v>
      </c>
      <c r="L6" s="59" t="s">
        <v>66</v>
      </c>
      <c r="M6" s="63">
        <v>46268</v>
      </c>
      <c r="N6" s="59" t="s">
        <v>45</v>
      </c>
      <c r="O6" s="59" t="s">
        <v>67</v>
      </c>
      <c r="P6" s="64">
        <v>46268</v>
      </c>
      <c r="Q6" s="64">
        <v>46275</v>
      </c>
      <c r="R6" s="67"/>
      <c r="S6" s="29"/>
      <c r="T6" s="68"/>
      <c r="U6" s="75">
        <f t="shared" ref="U6:U23" si="1">P6-M6</f>
        <v>0</v>
      </c>
      <c r="V6" s="76">
        <f t="shared" ref="V6:V23" si="2">Q6-R6</f>
        <v>46275</v>
      </c>
      <c r="W6" s="77">
        <f t="shared" ref="W6:W23" si="3">R6-M6</f>
        <v>-46268</v>
      </c>
    </row>
    <row r="7" ht="37.2" customHeight="1" spans="1:23">
      <c r="A7" s="52">
        <f t="shared" si="0"/>
        <v>6</v>
      </c>
      <c r="B7" s="53" t="s">
        <v>68</v>
      </c>
      <c r="C7" s="53" t="s">
        <v>61</v>
      </c>
      <c r="D7" s="53" t="s">
        <v>25</v>
      </c>
      <c r="E7" s="53" t="s">
        <v>39</v>
      </c>
      <c r="F7" s="53" t="s">
        <v>26</v>
      </c>
      <c r="G7" s="58" t="e">
        <f t="array" ref="G7">IF(OR(E7="",F7=""),"",_xlfn.LET(_xlpm.impact,_xlfn.TEXTAFTER(E7,"-"),_xlpm.urgency,_xlfn.TEXTAFTER(F7,"-"),_xlpm.p,INDEX(优先级矩阵!$B$4:$D$6,MATCH(_xlpm.impact,{"高","中","低"},0),MATCH(_xlpm.urgency,{"高","中","低"},0)),LEFT(E7,FIND("-",E7)-1)&amp;"-"&amp;_xlpm.p&amp;"-"&amp;_xlfn.XLOOKUP(_xlpm.p,优先级定义与SLA!$A$4:$A$7,_xlfn.TEXTBEFORE(优先级定义与SLA!$B$4:$B$7," "))))</f>
        <v>#NAME?</v>
      </c>
      <c r="H7" s="59" t="s">
        <v>69</v>
      </c>
      <c r="I7" s="59" t="s">
        <v>70</v>
      </c>
      <c r="J7" s="53" t="s">
        <v>64</v>
      </c>
      <c r="K7" s="59" t="s">
        <v>30</v>
      </c>
      <c r="L7" s="59" t="s">
        <v>71</v>
      </c>
      <c r="M7" s="63">
        <v>46260</v>
      </c>
      <c r="N7" s="59" t="s">
        <v>45</v>
      </c>
      <c r="O7" s="59" t="s">
        <v>67</v>
      </c>
      <c r="P7" s="64">
        <v>46260</v>
      </c>
      <c r="Q7" s="64">
        <v>46291</v>
      </c>
      <c r="R7" s="67"/>
      <c r="S7" s="29"/>
      <c r="T7" s="68"/>
      <c r="U7" s="75">
        <f t="shared" si="1"/>
        <v>0</v>
      </c>
      <c r="V7" s="76">
        <f t="shared" si="2"/>
        <v>46291</v>
      </c>
      <c r="W7" s="77">
        <f t="shared" si="3"/>
        <v>-46260</v>
      </c>
    </row>
    <row r="8" ht="37.2" customHeight="1" spans="1:23">
      <c r="A8" s="52">
        <f t="shared" si="0"/>
        <v>7</v>
      </c>
      <c r="B8" s="53" t="s">
        <v>35</v>
      </c>
      <c r="C8" s="53" t="s">
        <v>36</v>
      </c>
      <c r="D8" s="53" t="s">
        <v>72</v>
      </c>
      <c r="E8" s="53" t="s">
        <v>39</v>
      </c>
      <c r="F8" s="53" t="s">
        <v>39</v>
      </c>
      <c r="G8" s="58" t="e">
        <f t="array" ref="G8">IF(OR(E8="",F8=""),"",_xlfn.LET(_xlpm.impact,_xlfn.TEXTAFTER(E8,"-"),_xlpm.urgency,_xlfn.TEXTAFTER(F8,"-"),_xlpm.p,INDEX(优先级矩阵!$B$4:$D$6,MATCH(_xlpm.impact,{"高","中","低"},0),MATCH(_xlpm.urgency,{"高","中","低"},0)),LEFT(E8,FIND("-",E8)-1)&amp;"-"&amp;_xlpm.p&amp;"-"&amp;_xlfn.XLOOKUP(_xlpm.p,优先级定义与SLA!$A$4:$A$7,_xlfn.TEXTBEFORE(优先级定义与SLA!$B$4:$B$7," "))))</f>
        <v>#NAME?</v>
      </c>
      <c r="H8" s="59" t="s">
        <v>73</v>
      </c>
      <c r="I8" s="59" t="s">
        <v>74</v>
      </c>
      <c r="J8" s="53" t="s">
        <v>56</v>
      </c>
      <c r="K8" s="59" t="s">
        <v>75</v>
      </c>
      <c r="L8" s="59" t="s">
        <v>76</v>
      </c>
      <c r="M8" s="63">
        <v>46274</v>
      </c>
      <c r="N8" s="59" t="s">
        <v>45</v>
      </c>
      <c r="O8" s="59" t="s">
        <v>67</v>
      </c>
      <c r="P8" s="64">
        <v>46274</v>
      </c>
      <c r="Q8" s="64">
        <v>46275</v>
      </c>
      <c r="R8" s="67"/>
      <c r="S8" s="29"/>
      <c r="T8" s="68"/>
      <c r="U8" s="75">
        <f t="shared" si="1"/>
        <v>0</v>
      </c>
      <c r="V8" s="76">
        <f t="shared" si="2"/>
        <v>46275</v>
      </c>
      <c r="W8" s="77">
        <f t="shared" si="3"/>
        <v>-46274</v>
      </c>
    </row>
    <row r="9" ht="37.2" customHeight="1" spans="1:23">
      <c r="A9" s="52">
        <f t="shared" si="0"/>
        <v>8</v>
      </c>
      <c r="B9" s="53" t="s">
        <v>23</v>
      </c>
      <c r="C9" s="53" t="s">
        <v>36</v>
      </c>
      <c r="D9" s="53" t="s">
        <v>25</v>
      </c>
      <c r="E9" s="53" t="s">
        <v>26</v>
      </c>
      <c r="F9" s="53" t="s">
        <v>26</v>
      </c>
      <c r="G9" s="58" t="e">
        <f t="array" ref="G9">IF(OR(E9="",F9=""),"",_xlfn.LET(_xlpm.impact,_xlfn.TEXTAFTER(E9,"-"),_xlpm.urgency,_xlfn.TEXTAFTER(F9,"-"),_xlpm.p,INDEX(优先级矩阵!$B$4:$D$6,MATCH(_xlpm.impact,{"高","中","低"},0),MATCH(_xlpm.urgency,{"高","中","低"},0)),LEFT(E9,FIND("-",E9)-1)&amp;"-"&amp;_xlpm.p&amp;"-"&amp;_xlfn.XLOOKUP(_xlpm.p,优先级定义与SLA!$A$4:$A$7,_xlfn.TEXTBEFORE(优先级定义与SLA!$B$4:$B$7," "))))</f>
        <v>#NAME?</v>
      </c>
      <c r="H9" s="59" t="s">
        <v>77</v>
      </c>
      <c r="I9" s="59"/>
      <c r="J9" s="53" t="s">
        <v>78</v>
      </c>
      <c r="K9" s="59" t="s">
        <v>79</v>
      </c>
      <c r="L9" s="59" t="s">
        <v>80</v>
      </c>
      <c r="M9" s="63">
        <v>46269</v>
      </c>
      <c r="N9" s="59" t="s">
        <v>81</v>
      </c>
      <c r="O9" s="59" t="s">
        <v>33</v>
      </c>
      <c r="P9" s="64">
        <v>46269</v>
      </c>
      <c r="Q9" s="64">
        <v>46272</v>
      </c>
      <c r="R9" s="67">
        <v>46273</v>
      </c>
      <c r="S9" s="69"/>
      <c r="T9" s="70"/>
      <c r="U9" s="75">
        <f t="shared" si="1"/>
        <v>0</v>
      </c>
      <c r="V9" s="76">
        <f t="shared" si="2"/>
        <v>-1</v>
      </c>
      <c r="W9" s="77">
        <f t="shared" si="3"/>
        <v>4</v>
      </c>
    </row>
    <row r="10" ht="37.2" customHeight="1" spans="1:23">
      <c r="A10" s="52">
        <f t="shared" si="0"/>
        <v>9</v>
      </c>
      <c r="B10" s="53" t="s">
        <v>23</v>
      </c>
      <c r="C10" s="53" t="s">
        <v>36</v>
      </c>
      <c r="D10" s="53" t="s">
        <v>25</v>
      </c>
      <c r="E10" s="53" t="s">
        <v>39</v>
      </c>
      <c r="F10" s="53" t="s">
        <v>39</v>
      </c>
      <c r="G10" s="60" t="e">
        <f t="array" ref="G10">IF(OR(E10="",F10=""),"",_xlfn.LET(_xlpm.impact,_xlfn.TEXTAFTER(E10,"-"),_xlpm.urgency,_xlfn.TEXTAFTER(F10,"-"),_xlpm.p,INDEX(优先级矩阵!$B$4:$D$6,MATCH(_xlpm.impact,{"高","中","低"},0),MATCH(_xlpm.urgency,{"高","中","低"},0)),LEFT(E10,FIND("-",E10)-1)&amp;"-"&amp;_xlpm.p&amp;"-"&amp;_xlfn.XLOOKUP(_xlpm.p,优先级定义与SLA!$A$4:$A$7,_xlfn.TEXTBEFORE(优先级定义与SLA!$B$4:$B$7," "))))</f>
        <v>#NAME?</v>
      </c>
      <c r="H10" s="59" t="s">
        <v>82</v>
      </c>
      <c r="I10" s="59"/>
      <c r="J10" s="53" t="s">
        <v>78</v>
      </c>
      <c r="K10" s="59" t="s">
        <v>83</v>
      </c>
      <c r="L10" s="59" t="s">
        <v>84</v>
      </c>
      <c r="M10" s="63">
        <v>46270</v>
      </c>
      <c r="N10" s="59" t="s">
        <v>81</v>
      </c>
      <c r="O10" s="59" t="s">
        <v>33</v>
      </c>
      <c r="P10" s="63">
        <v>46272</v>
      </c>
      <c r="Q10" s="63">
        <v>46273</v>
      </c>
      <c r="R10" s="63">
        <v>46273</v>
      </c>
      <c r="S10" s="69"/>
      <c r="T10" s="70"/>
      <c r="U10" s="75">
        <f t="shared" si="1"/>
        <v>2</v>
      </c>
      <c r="V10" s="76">
        <f t="shared" si="2"/>
        <v>0</v>
      </c>
      <c r="W10" s="77">
        <f t="shared" si="3"/>
        <v>3</v>
      </c>
    </row>
    <row r="11" ht="37.2" customHeight="1" spans="1:23">
      <c r="A11" s="52">
        <f t="shared" si="0"/>
        <v>10</v>
      </c>
      <c r="B11" s="53" t="s">
        <v>23</v>
      </c>
      <c r="C11" s="53" t="s">
        <v>36</v>
      </c>
      <c r="D11" s="53" t="s">
        <v>25</v>
      </c>
      <c r="E11" s="53" t="s">
        <v>39</v>
      </c>
      <c r="F11" s="53" t="s">
        <v>39</v>
      </c>
      <c r="G11" s="60" t="e">
        <f t="array" ref="G11">IF(OR(E11="",F11=""),"",_xlfn.LET(_xlpm.impact,_xlfn.TEXTAFTER(E11,"-"),_xlpm.urgency,_xlfn.TEXTAFTER(F11,"-"),_xlpm.p,INDEX(优先级矩阵!$B$4:$D$6,MATCH(_xlpm.impact,{"高","中","低"},0),MATCH(_xlpm.urgency,{"高","中","低"},0)),LEFT(E11,FIND("-",E11)-1)&amp;"-"&amp;_xlpm.p&amp;"-"&amp;_xlfn.XLOOKUP(_xlpm.p,优先级定义与SLA!$A$4:$A$7,_xlfn.TEXTBEFORE(优先级定义与SLA!$B$4:$B$7," "))))</f>
        <v>#NAME?</v>
      </c>
      <c r="H11" s="59" t="s">
        <v>85</v>
      </c>
      <c r="I11" s="59"/>
      <c r="J11" s="53" t="s">
        <v>78</v>
      </c>
      <c r="K11" s="59" t="s">
        <v>86</v>
      </c>
      <c r="L11" s="59" t="s">
        <v>87</v>
      </c>
      <c r="M11" s="63">
        <v>46245</v>
      </c>
      <c r="N11" s="59" t="s">
        <v>81</v>
      </c>
      <c r="O11" s="59" t="s">
        <v>33</v>
      </c>
      <c r="P11" s="63">
        <v>46245</v>
      </c>
      <c r="Q11" s="63">
        <v>46276</v>
      </c>
      <c r="R11" s="63">
        <v>46273</v>
      </c>
      <c r="S11" s="69" t="s">
        <v>88</v>
      </c>
      <c r="T11" s="70"/>
      <c r="U11" s="75">
        <f t="shared" si="1"/>
        <v>0</v>
      </c>
      <c r="V11" s="76">
        <f t="shared" si="2"/>
        <v>3</v>
      </c>
      <c r="W11" s="77">
        <f t="shared" si="3"/>
        <v>28</v>
      </c>
    </row>
    <row r="12" ht="37.2" customHeight="1" spans="1:23">
      <c r="A12" s="52">
        <f t="shared" si="0"/>
        <v>11</v>
      </c>
      <c r="B12" s="53" t="s">
        <v>89</v>
      </c>
      <c r="C12" s="53" t="s">
        <v>36</v>
      </c>
      <c r="D12" s="53" t="s">
        <v>25</v>
      </c>
      <c r="E12" s="53" t="s">
        <v>38</v>
      </c>
      <c r="F12" s="53" t="s">
        <v>38</v>
      </c>
      <c r="G12" s="60" t="e">
        <f t="array" ref="G12">IF(OR(E12="",F12=""),"",_xlfn.LET(_xlpm.impact,_xlfn.TEXTAFTER(E12,"-"),_xlpm.urgency,_xlfn.TEXTAFTER(F12,"-"),_xlpm.p,INDEX(优先级矩阵!$B$4:$D$6,MATCH(_xlpm.impact,{"高","中","低"},0),MATCH(_xlpm.urgency,{"高","中","低"},0)),LEFT(E12,FIND("-",E12)-1)&amp;"-"&amp;_xlpm.p&amp;"-"&amp;_xlfn.XLOOKUP(_xlpm.p,优先级定义与SLA!$A$4:$A$7,_xlfn.TEXTBEFORE(优先级定义与SLA!$B$4:$B$7," "))))</f>
        <v>#NAME?</v>
      </c>
      <c r="H12" s="59" t="s">
        <v>90</v>
      </c>
      <c r="I12" s="59" t="s">
        <v>91</v>
      </c>
      <c r="J12" s="53" t="s">
        <v>42</v>
      </c>
      <c r="K12" s="59" t="s">
        <v>92</v>
      </c>
      <c r="L12" s="59" t="s">
        <v>93</v>
      </c>
      <c r="M12" s="63">
        <v>46271</v>
      </c>
      <c r="N12" s="59" t="s">
        <v>81</v>
      </c>
      <c r="O12" s="59" t="s">
        <v>33</v>
      </c>
      <c r="P12" s="63">
        <v>46271</v>
      </c>
      <c r="Q12" s="63">
        <v>46272</v>
      </c>
      <c r="R12" s="63">
        <v>46241</v>
      </c>
      <c r="S12" s="69" t="s">
        <v>94</v>
      </c>
      <c r="T12" s="70"/>
      <c r="U12" s="75">
        <f t="shared" si="1"/>
        <v>0</v>
      </c>
      <c r="V12" s="76">
        <f t="shared" si="2"/>
        <v>31</v>
      </c>
      <c r="W12" s="77">
        <f t="shared" si="3"/>
        <v>-30</v>
      </c>
    </row>
    <row r="13" ht="37.2" customHeight="1" spans="1:23">
      <c r="A13" s="52">
        <f t="shared" si="0"/>
        <v>12</v>
      </c>
      <c r="B13" s="53" t="s">
        <v>35</v>
      </c>
      <c r="C13" s="53" t="s">
        <v>36</v>
      </c>
      <c r="D13" s="53" t="s">
        <v>95</v>
      </c>
      <c r="E13" s="53" t="s">
        <v>39</v>
      </c>
      <c r="F13" s="53" t="s">
        <v>39</v>
      </c>
      <c r="G13" s="60" t="e">
        <f t="array" ref="G13">IF(OR(E13="",F13=""),"",_xlfn.LET(_xlpm.impact,_xlfn.TEXTAFTER(E13,"-"),_xlpm.urgency,_xlfn.TEXTAFTER(F13,"-"),_xlpm.p,INDEX(优先级矩阵!$B$4:$D$6,MATCH(_xlpm.impact,{"高","中","低"},0),MATCH(_xlpm.urgency,{"高","中","低"},0)),LEFT(E13,FIND("-",E13)-1)&amp;"-"&amp;_xlpm.p&amp;"-"&amp;_xlfn.XLOOKUP(_xlpm.p,优先级定义与SLA!$A$4:$A$7,_xlfn.TEXTBEFORE(优先级定义与SLA!$B$4:$B$7," "))))</f>
        <v>#NAME?</v>
      </c>
      <c r="H13" s="59" t="s">
        <v>96</v>
      </c>
      <c r="I13" s="59"/>
      <c r="J13" s="53" t="s">
        <v>97</v>
      </c>
      <c r="K13" s="59" t="s">
        <v>98</v>
      </c>
      <c r="L13" s="59" t="s">
        <v>99</v>
      </c>
      <c r="M13" s="63">
        <v>46273</v>
      </c>
      <c r="N13" s="59" t="s">
        <v>81</v>
      </c>
      <c r="O13" s="59" t="s">
        <v>67</v>
      </c>
      <c r="P13" s="63">
        <v>46273</v>
      </c>
      <c r="Q13" s="64">
        <v>46275</v>
      </c>
      <c r="R13" s="67"/>
      <c r="S13" s="69"/>
      <c r="T13" s="70"/>
      <c r="U13" s="75">
        <f t="shared" si="1"/>
        <v>0</v>
      </c>
      <c r="V13" s="76">
        <f t="shared" si="2"/>
        <v>46275</v>
      </c>
      <c r="W13" s="77">
        <f t="shared" si="3"/>
        <v>-46273</v>
      </c>
    </row>
    <row r="14" ht="37.2" customHeight="1" spans="1:23">
      <c r="A14" s="52">
        <f t="shared" si="0"/>
        <v>13</v>
      </c>
      <c r="B14" s="53"/>
      <c r="C14" s="53"/>
      <c r="D14" s="53"/>
      <c r="E14" s="53"/>
      <c r="F14" s="53"/>
      <c r="G14" s="60" t="str">
        <f t="array" ref="G14">IF(OR(E14="",F14=""),"",_xlfn.LET(_xlpm.impact,_xlfn.TEXTAFTER(E14,"-"),_xlpm.urgency,_xlfn.TEXTAFTER(F14,"-"),_xlpm.p,INDEX(优先级矩阵!$B$4:$D$6,MATCH(_xlpm.impact,{"高","中","低"},0),MATCH(_xlpm.urgency,{"高","中","低"},0)),LEFT(E14,FIND("-",E14)-1)&amp;"-"&amp;_xlpm.p&amp;"-"&amp;_xlfn.XLOOKUP(_xlpm.p,优先级定义与SLA!$A$4:$A$7,_xlfn.TEXTBEFORE(优先级定义与SLA!$B$4:$B$7," "))))</f>
        <v/>
      </c>
      <c r="H14" s="59"/>
      <c r="I14" s="59"/>
      <c r="J14" s="53"/>
      <c r="K14" s="59"/>
      <c r="L14" s="59"/>
      <c r="M14" s="63"/>
      <c r="N14" s="59"/>
      <c r="O14" s="59"/>
      <c r="P14" s="59"/>
      <c r="Q14" s="59"/>
      <c r="R14" s="67"/>
      <c r="S14" s="69"/>
      <c r="T14" s="70"/>
      <c r="U14" s="75">
        <f t="shared" si="1"/>
        <v>0</v>
      </c>
      <c r="V14" s="76">
        <f t="shared" si="2"/>
        <v>0</v>
      </c>
      <c r="W14" s="77">
        <f t="shared" si="3"/>
        <v>0</v>
      </c>
    </row>
    <row r="15" ht="37.2" customHeight="1" spans="1:23">
      <c r="A15" s="52">
        <f t="shared" si="0"/>
        <v>14</v>
      </c>
      <c r="B15" s="53" t="s">
        <v>89</v>
      </c>
      <c r="C15" s="53" t="s">
        <v>100</v>
      </c>
      <c r="D15" s="53" t="s">
        <v>25</v>
      </c>
      <c r="E15" s="53" t="s">
        <v>39</v>
      </c>
      <c r="F15" s="53" t="s">
        <v>39</v>
      </c>
      <c r="G15" s="60" t="e">
        <f t="array" ref="G15">IF(OR(E15="",F15=""),"",_xlfn.LET(_xlpm.impact,_xlfn.TEXTAFTER(E15,"-"),_xlpm.urgency,_xlfn.TEXTAFTER(F15,"-"),_xlpm.p,INDEX(优先级矩阵!$B$4:$D$6,MATCH(_xlpm.impact,{"高","中","低"},0),MATCH(_xlpm.urgency,{"高","中","低"},0)),LEFT(E15,FIND("-",E15)-1)&amp;"-"&amp;_xlpm.p&amp;"-"&amp;_xlfn.XLOOKUP(_xlpm.p,优先级定义与SLA!$A$4:$A$7,_xlfn.TEXTBEFORE(优先级定义与SLA!$B$4:$B$7," "))))</f>
        <v>#NAME?</v>
      </c>
      <c r="H15" s="59" t="s">
        <v>101</v>
      </c>
      <c r="I15" s="59" t="s">
        <v>102</v>
      </c>
      <c r="J15" s="53" t="s">
        <v>56</v>
      </c>
      <c r="K15" s="59" t="s">
        <v>103</v>
      </c>
      <c r="L15" s="59" t="s">
        <v>104</v>
      </c>
      <c r="M15" s="63">
        <v>46274</v>
      </c>
      <c r="N15" s="59" t="s">
        <v>105</v>
      </c>
      <c r="O15" s="59" t="s">
        <v>67</v>
      </c>
      <c r="P15" s="63">
        <v>46274</v>
      </c>
      <c r="Q15" s="63">
        <v>46276</v>
      </c>
      <c r="R15" s="67"/>
      <c r="S15" s="69" t="s">
        <v>106</v>
      </c>
      <c r="T15" s="70"/>
      <c r="U15" s="75">
        <f t="shared" si="1"/>
        <v>0</v>
      </c>
      <c r="V15" s="76">
        <f t="shared" si="2"/>
        <v>46276</v>
      </c>
      <c r="W15" s="77">
        <f t="shared" si="3"/>
        <v>-46274</v>
      </c>
    </row>
    <row r="16" ht="37.2" customHeight="1" spans="1:23">
      <c r="A16" s="52">
        <f t="shared" si="0"/>
        <v>15</v>
      </c>
      <c r="B16" s="53" t="s">
        <v>89</v>
      </c>
      <c r="C16" s="53" t="s">
        <v>100</v>
      </c>
      <c r="D16" s="53" t="s">
        <v>25</v>
      </c>
      <c r="E16" s="53" t="s">
        <v>39</v>
      </c>
      <c r="F16" s="53" t="s">
        <v>39</v>
      </c>
      <c r="G16" s="60" t="e">
        <f t="array" ref="G16">IF(OR(E16="",F16=""),"",_xlfn.LET(_xlpm.impact,_xlfn.TEXTAFTER(E16,"-"),_xlpm.urgency,_xlfn.TEXTAFTER(F16,"-"),_xlpm.p,INDEX(优先级矩阵!$B$4:$D$6,MATCH(_xlpm.impact,{"高","中","低"},0),MATCH(_xlpm.urgency,{"高","中","低"},0)),LEFT(E16,FIND("-",E16)-1)&amp;"-"&amp;_xlpm.p&amp;"-"&amp;_xlfn.XLOOKUP(_xlpm.p,优先级定义与SLA!$A$4:$A$7,_xlfn.TEXTBEFORE(优先级定义与SLA!$B$4:$B$7," "))))</f>
        <v>#NAME?</v>
      </c>
      <c r="H16" s="59" t="s">
        <v>107</v>
      </c>
      <c r="I16" s="59" t="s">
        <v>108</v>
      </c>
      <c r="J16" s="53" t="s">
        <v>64</v>
      </c>
      <c r="K16" s="59" t="s">
        <v>30</v>
      </c>
      <c r="L16" s="59" t="s">
        <v>105</v>
      </c>
      <c r="M16" s="63">
        <v>46274</v>
      </c>
      <c r="N16" s="59" t="s">
        <v>105</v>
      </c>
      <c r="O16" s="59" t="s">
        <v>67</v>
      </c>
      <c r="P16" s="63">
        <v>46271</v>
      </c>
      <c r="Q16" s="63">
        <v>46279</v>
      </c>
      <c r="R16" s="67"/>
      <c r="S16" s="69" t="s">
        <v>109</v>
      </c>
      <c r="T16" s="70"/>
      <c r="U16" s="75">
        <f t="shared" si="1"/>
        <v>-3</v>
      </c>
      <c r="V16" s="76">
        <f t="shared" si="2"/>
        <v>46279</v>
      </c>
      <c r="W16" s="77">
        <f t="shared" si="3"/>
        <v>-46274</v>
      </c>
    </row>
    <row r="17" ht="37.2" customHeight="1" spans="1:23">
      <c r="A17" s="52">
        <f t="shared" si="0"/>
        <v>16</v>
      </c>
      <c r="B17" s="53" t="s">
        <v>68</v>
      </c>
      <c r="C17" s="53" t="s">
        <v>24</v>
      </c>
      <c r="D17" s="53" t="s">
        <v>25</v>
      </c>
      <c r="E17" s="53" t="s">
        <v>26</v>
      </c>
      <c r="F17" s="53" t="s">
        <v>26</v>
      </c>
      <c r="G17" s="60" t="e">
        <f t="array" ref="G17">IF(OR(E17="",F17=""),"",_xlfn.LET(_xlpm.impact,_xlfn.TEXTAFTER(E17,"-"),_xlpm.urgency,_xlfn.TEXTAFTER(F17,"-"),_xlpm.p,INDEX(优先级矩阵!$B$4:$D$6,MATCH(_xlpm.impact,{"高","中","低"},0),MATCH(_xlpm.urgency,{"高","中","低"},0)),LEFT(E17,FIND("-",E17)-1)&amp;"-"&amp;_xlpm.p&amp;"-"&amp;_xlfn.XLOOKUP(_xlpm.p,优先级定义与SLA!$A$4:$A$7,_xlfn.TEXTBEFORE(优先级定义与SLA!$B$4:$B$7," "))))</f>
        <v>#NAME?</v>
      </c>
      <c r="H17" s="59" t="s">
        <v>110</v>
      </c>
      <c r="I17" s="59" t="s">
        <v>111</v>
      </c>
      <c r="J17" s="53" t="s">
        <v>64</v>
      </c>
      <c r="K17" s="59" t="s">
        <v>30</v>
      </c>
      <c r="L17" s="59" t="s">
        <v>32</v>
      </c>
      <c r="M17" s="63">
        <v>46274</v>
      </c>
      <c r="N17" s="59" t="s">
        <v>32</v>
      </c>
      <c r="O17" s="59" t="s">
        <v>112</v>
      </c>
      <c r="P17" s="64">
        <v>46274</v>
      </c>
      <c r="Q17" s="64">
        <v>46387</v>
      </c>
      <c r="R17" s="67"/>
      <c r="S17" s="69" t="s">
        <v>113</v>
      </c>
      <c r="T17" s="70"/>
      <c r="U17" s="75">
        <f t="shared" si="1"/>
        <v>0</v>
      </c>
      <c r="V17" s="76">
        <f t="shared" si="2"/>
        <v>46387</v>
      </c>
      <c r="W17" s="77">
        <f t="shared" si="3"/>
        <v>-46274</v>
      </c>
    </row>
    <row r="18" ht="37.2" customHeight="1" spans="1:23">
      <c r="A18" s="52">
        <f t="shared" si="0"/>
        <v>17</v>
      </c>
      <c r="B18" s="53" t="s">
        <v>35</v>
      </c>
      <c r="C18" s="53" t="s">
        <v>100</v>
      </c>
      <c r="D18" s="53" t="s">
        <v>25</v>
      </c>
      <c r="E18" s="53" t="s">
        <v>38</v>
      </c>
      <c r="F18" s="53" t="s">
        <v>38</v>
      </c>
      <c r="G18" s="60" t="e">
        <f t="array" ref="G18">IF(OR(E18="",F18=""),"",_xlfn.LET(_xlpm.impact,_xlfn.TEXTAFTER(E18,"-"),_xlpm.urgency,_xlfn.TEXTAFTER(F18,"-"),_xlpm.p,INDEX(优先级矩阵!$B$4:$D$6,MATCH(_xlpm.impact,{"高","中","低"},0),MATCH(_xlpm.urgency,{"高","中","低"},0)),LEFT(E18,FIND("-",E18)-1)&amp;"-"&amp;_xlpm.p&amp;"-"&amp;_xlfn.XLOOKUP(_xlpm.p,优先级定义与SLA!$A$4:$A$7,_xlfn.TEXTBEFORE(优先级定义与SLA!$B$4:$B$7," "))))</f>
        <v>#NAME?</v>
      </c>
      <c r="H18" s="59" t="s">
        <v>114</v>
      </c>
      <c r="I18" s="59" t="s">
        <v>115</v>
      </c>
      <c r="J18" s="53" t="s">
        <v>56</v>
      </c>
      <c r="K18" s="59" t="s">
        <v>116</v>
      </c>
      <c r="L18" s="59" t="s">
        <v>117</v>
      </c>
      <c r="M18" s="63">
        <v>46266</v>
      </c>
      <c r="N18" s="59" t="s">
        <v>118</v>
      </c>
      <c r="O18" s="59" t="s">
        <v>33</v>
      </c>
      <c r="P18" s="63">
        <v>46266</v>
      </c>
      <c r="Q18" s="63">
        <v>46267</v>
      </c>
      <c r="R18" s="63">
        <v>46267</v>
      </c>
      <c r="S18" s="69"/>
      <c r="T18" s="70"/>
      <c r="U18" s="75">
        <f t="shared" si="1"/>
        <v>0</v>
      </c>
      <c r="V18" s="76">
        <f t="shared" si="2"/>
        <v>0</v>
      </c>
      <c r="W18" s="77">
        <f t="shared" si="3"/>
        <v>1</v>
      </c>
    </row>
    <row r="19" ht="37.2" customHeight="1" spans="1:23">
      <c r="A19" s="52">
        <f t="shared" si="0"/>
        <v>18</v>
      </c>
      <c r="B19" s="53" t="s">
        <v>35</v>
      </c>
      <c r="C19" s="53" t="s">
        <v>100</v>
      </c>
      <c r="D19" s="53" t="s">
        <v>25</v>
      </c>
      <c r="E19" s="53" t="s">
        <v>38</v>
      </c>
      <c r="F19" s="53" t="s">
        <v>38</v>
      </c>
      <c r="G19" s="60" t="e">
        <f t="array" ref="G19">IF(OR(E19="",F19=""),"",_xlfn.LET(_xlpm.impact,_xlfn.TEXTAFTER(E19,"-"),_xlpm.urgency,_xlfn.TEXTAFTER(F19,"-"),_xlpm.p,INDEX(优先级矩阵!$B$4:$D$6,MATCH(_xlpm.impact,{"高","中","低"},0),MATCH(_xlpm.urgency,{"高","中","低"},0)),LEFT(E19,FIND("-",E19)-1)&amp;"-"&amp;_xlpm.p&amp;"-"&amp;_xlfn.XLOOKUP(_xlpm.p,优先级定义与SLA!$A$4:$A$7,_xlfn.TEXTBEFORE(优先级定义与SLA!$B$4:$B$7," "))))</f>
        <v>#NAME?</v>
      </c>
      <c r="H19" s="59" t="s">
        <v>119</v>
      </c>
      <c r="I19" s="59" t="s">
        <v>115</v>
      </c>
      <c r="J19" s="53" t="s">
        <v>56</v>
      </c>
      <c r="K19" s="59" t="s">
        <v>116</v>
      </c>
      <c r="L19" s="59" t="s">
        <v>117</v>
      </c>
      <c r="M19" s="63">
        <v>46266</v>
      </c>
      <c r="N19" s="59" t="s">
        <v>118</v>
      </c>
      <c r="O19" s="59" t="s">
        <v>67</v>
      </c>
      <c r="P19" s="63">
        <v>46266</v>
      </c>
      <c r="Q19" s="63">
        <v>46280</v>
      </c>
      <c r="R19" s="67"/>
      <c r="S19" s="69"/>
      <c r="T19" s="70"/>
      <c r="U19" s="75">
        <f t="shared" si="1"/>
        <v>0</v>
      </c>
      <c r="V19" s="76">
        <f t="shared" si="2"/>
        <v>46280</v>
      </c>
      <c r="W19" s="77">
        <f t="shared" si="3"/>
        <v>-46266</v>
      </c>
    </row>
    <row r="20" ht="37.2" customHeight="1" spans="1:23">
      <c r="A20" s="52">
        <f>ROW()-1</f>
        <v>19</v>
      </c>
      <c r="B20" s="53" t="s">
        <v>23</v>
      </c>
      <c r="C20" s="53" t="s">
        <v>100</v>
      </c>
      <c r="D20" s="53" t="s">
        <v>25</v>
      </c>
      <c r="E20" s="53" t="s">
        <v>39</v>
      </c>
      <c r="F20" s="53" t="s">
        <v>26</v>
      </c>
      <c r="G20" s="60" t="e">
        <f t="array" ref="G20">IF(OR(E20="",F20=""),"",_xlfn.LET(_xlpm.impact,_xlfn.TEXTAFTER(E20,"-"),_xlpm.urgency,_xlfn.TEXTAFTER(F20,"-"),_xlpm.p,INDEX(优先级矩阵!$B$4:$D$6,MATCH(_xlpm.impact,{"高","中","低"},0),MATCH(_xlpm.urgency,{"高","中","低"},0)),LEFT(E20,FIND("-",E20)-1)&amp;"-"&amp;_xlpm.p&amp;"-"&amp;_xlfn.XLOOKUP(_xlpm.p,优先级定义与SLA!$A$4:$A$7,_xlfn.TEXTBEFORE(优先级定义与SLA!$B$4:$B$7," "))))</f>
        <v>#NAME?</v>
      </c>
      <c r="H20" s="59" t="s">
        <v>120</v>
      </c>
      <c r="I20" s="59" t="s">
        <v>121</v>
      </c>
      <c r="J20" s="53" t="s">
        <v>56</v>
      </c>
      <c r="K20" s="59" t="s">
        <v>30</v>
      </c>
      <c r="L20" s="59" t="s">
        <v>71</v>
      </c>
      <c r="M20" s="63">
        <v>46269</v>
      </c>
      <c r="N20" s="59" t="s">
        <v>118</v>
      </c>
      <c r="O20" s="59" t="s">
        <v>67</v>
      </c>
      <c r="P20" s="63">
        <v>46269</v>
      </c>
      <c r="Q20" s="63">
        <v>46279</v>
      </c>
      <c r="R20" s="67"/>
      <c r="S20" s="69"/>
      <c r="T20" s="70"/>
      <c r="U20" s="75">
        <f>P20-M20</f>
        <v>0</v>
      </c>
      <c r="V20" s="76">
        <f>Q20-R20</f>
        <v>46279</v>
      </c>
      <c r="W20" s="77">
        <f>R20-M20</f>
        <v>-46269</v>
      </c>
    </row>
    <row r="21" ht="37.2" customHeight="1" spans="1:23">
      <c r="A21" s="52">
        <f>ROW()-1</f>
        <v>20</v>
      </c>
      <c r="B21" s="53" t="s">
        <v>89</v>
      </c>
      <c r="C21" s="53" t="s">
        <v>61</v>
      </c>
      <c r="D21" s="53" t="s">
        <v>25</v>
      </c>
      <c r="E21" s="53" t="s">
        <v>39</v>
      </c>
      <c r="F21" s="53" t="s">
        <v>39</v>
      </c>
      <c r="G21" s="60" t="e">
        <f t="array" ref="G21">IF(OR(E21="",F21=""),"",_xlfn.LET(_xlpm.impact,_xlfn.TEXTAFTER(E21,"-"),_xlpm.urgency,_xlfn.TEXTAFTER(F21,"-"),_xlpm.p,INDEX(优先级矩阵!$B$4:$D$6,MATCH(_xlpm.impact,{"高","中","低"},0),MATCH(_xlpm.urgency,{"高","中","低"},0)),LEFT(E21,FIND("-",E21)-1)&amp;"-"&amp;_xlpm.p&amp;"-"&amp;_xlfn.XLOOKUP(_xlpm.p,优先级定义与SLA!$A$4:$A$7,_xlfn.TEXTBEFORE(优先级定义与SLA!$B$4:$B$7," "))))</f>
        <v>#NAME?</v>
      </c>
      <c r="H21" s="59" t="s">
        <v>122</v>
      </c>
      <c r="I21" s="59"/>
      <c r="J21" s="53" t="s">
        <v>64</v>
      </c>
      <c r="K21" s="59" t="s">
        <v>30</v>
      </c>
      <c r="L21" s="59" t="s">
        <v>32</v>
      </c>
      <c r="M21" s="63">
        <v>46267</v>
      </c>
      <c r="N21" s="59" t="s">
        <v>118</v>
      </c>
      <c r="O21" s="59" t="s">
        <v>33</v>
      </c>
      <c r="P21" s="63">
        <v>46267</v>
      </c>
      <c r="Q21" s="63">
        <v>46272</v>
      </c>
      <c r="R21" s="63">
        <v>46272</v>
      </c>
      <c r="S21" s="69"/>
      <c r="T21" s="70"/>
      <c r="U21" s="75">
        <f>P21-M21</f>
        <v>0</v>
      </c>
      <c r="V21" s="76">
        <f>Q21-R21</f>
        <v>0</v>
      </c>
      <c r="W21" s="77">
        <f>R21-M21</f>
        <v>5</v>
      </c>
    </row>
    <row r="22" ht="37.2" customHeight="1" spans="1:23">
      <c r="A22" s="52">
        <f>ROW()-1</f>
        <v>21</v>
      </c>
      <c r="B22" s="53" t="s">
        <v>35</v>
      </c>
      <c r="C22" s="53" t="s">
        <v>100</v>
      </c>
      <c r="D22" s="53" t="s">
        <v>25</v>
      </c>
      <c r="E22" s="53" t="s">
        <v>38</v>
      </c>
      <c r="F22" s="53" t="s">
        <v>38</v>
      </c>
      <c r="G22" s="60" t="e">
        <f t="array" ref="G22">IF(OR(E22="",F22=""),"",_xlfn.LET(_xlpm.impact,_xlfn.TEXTAFTER(E22,"-"),_xlpm.urgency,_xlfn.TEXTAFTER(F22,"-"),_xlpm.p,INDEX(优先级矩阵!$B$4:$D$6,MATCH(_xlpm.impact,{"高","中","低"},0),MATCH(_xlpm.urgency,{"高","中","低"},0)),LEFT(E22,FIND("-",E22)-1)&amp;"-"&amp;_xlpm.p&amp;"-"&amp;_xlfn.XLOOKUP(_xlpm.p,优先级定义与SLA!$A$4:$A$7,_xlfn.TEXTBEFORE(优先级定义与SLA!$B$4:$B$7," "))))</f>
        <v>#NAME?</v>
      </c>
      <c r="H22" s="59" t="s">
        <v>123</v>
      </c>
      <c r="I22" s="59" t="s">
        <v>124</v>
      </c>
      <c r="J22" s="53" t="s">
        <v>64</v>
      </c>
      <c r="K22" s="59" t="s">
        <v>125</v>
      </c>
      <c r="L22" s="59" t="s">
        <v>126</v>
      </c>
      <c r="M22" s="63">
        <v>46269</v>
      </c>
      <c r="N22" s="59" t="s">
        <v>118</v>
      </c>
      <c r="O22" s="59" t="s">
        <v>33</v>
      </c>
      <c r="P22" s="63">
        <v>46269</v>
      </c>
      <c r="Q22" s="63">
        <v>46270</v>
      </c>
      <c r="R22" s="63">
        <v>46270</v>
      </c>
      <c r="S22" s="69"/>
      <c r="T22" s="70"/>
      <c r="U22" s="75">
        <f>P22-M22</f>
        <v>0</v>
      </c>
      <c r="V22" s="76">
        <f>Q22-R22</f>
        <v>0</v>
      </c>
      <c r="W22" s="77">
        <f>R22-M22</f>
        <v>1</v>
      </c>
    </row>
    <row r="23" ht="37.2" customHeight="1" spans="1:23">
      <c r="A23" s="52">
        <f>ROW()-1</f>
        <v>22</v>
      </c>
      <c r="B23" s="53" t="s">
        <v>53</v>
      </c>
      <c r="C23" s="53"/>
      <c r="D23" s="53"/>
      <c r="E23" s="53"/>
      <c r="F23" s="53"/>
      <c r="G23" s="60" t="str">
        <f t="array" ref="G23">IF(OR(E23="",F23=""),"",_xlfn.LET(_xlpm.impact,_xlfn.TEXTAFTER(E23,"-"),_xlpm.urgency,_xlfn.TEXTAFTER(F23,"-"),_xlpm.p,INDEX(优先级矩阵!$B$4:$D$6,MATCH(_xlpm.impact,{"高","中","低"},0),MATCH(_xlpm.urgency,{"高","中","低"},0)),LEFT(E23,FIND("-",E23)-1)&amp;"-"&amp;_xlpm.p&amp;"-"&amp;_xlfn.XLOOKUP(_xlpm.p,优先级定义与SLA!$A$4:$A$7,_xlfn.TEXTBEFORE(优先级定义与SLA!$B$4:$B$7," "))))</f>
        <v/>
      </c>
      <c r="H23" s="59"/>
      <c r="I23" s="59"/>
      <c r="J23" s="53"/>
      <c r="K23" s="59"/>
      <c r="L23" s="59"/>
      <c r="M23" s="63"/>
      <c r="N23" s="59"/>
      <c r="O23" s="59"/>
      <c r="P23" s="59"/>
      <c r="Q23" s="59"/>
      <c r="R23" s="67"/>
      <c r="S23" s="69"/>
      <c r="T23" s="70"/>
      <c r="U23" s="75">
        <f>P23-M23</f>
        <v>0</v>
      </c>
      <c r="V23" s="76">
        <f>Q23-R23</f>
        <v>0</v>
      </c>
      <c r="W23" s="77">
        <f>R23-M23</f>
        <v>0</v>
      </c>
    </row>
    <row r="24" ht="37.2" customHeight="1" spans="1:23">
      <c r="A24" s="54">
        <f>ROW()-1</f>
        <v>23</v>
      </c>
      <c r="B24" s="55"/>
      <c r="C24" s="55"/>
      <c r="D24" s="55"/>
      <c r="E24" s="55"/>
      <c r="F24" s="55"/>
      <c r="G24" s="61" t="str">
        <f t="array" ref="G24">IF(OR(E24="",F24=""),"",_xlfn.LET(_xlpm.impact,_xlfn.TEXTAFTER(E24,"-"),_xlpm.urgency,_xlfn.TEXTAFTER(F24,"-"),_xlpm.p,INDEX(优先级矩阵!$B$4:$D$6,MATCH(_xlpm.impact,{"高","中","低"},0),MATCH(_xlpm.urgency,{"高","中","低"},0)),LEFT(E24,FIND("-",E24)-1)&amp;"-"&amp;_xlpm.p&amp;"-"&amp;_xlfn.XLOOKUP(_xlpm.p,优先级定义与SLA!$A$4:$A$7,_xlfn.TEXTBEFORE(优先级定义与SLA!$B$4:$B$7," "))))</f>
        <v/>
      </c>
      <c r="H24" s="62"/>
      <c r="I24" s="62"/>
      <c r="J24" s="55"/>
      <c r="K24" s="62"/>
      <c r="L24" s="62"/>
      <c r="M24" s="65"/>
      <c r="N24" s="62"/>
      <c r="O24" s="62"/>
      <c r="P24" s="62"/>
      <c r="Q24" s="62"/>
      <c r="R24" s="71"/>
      <c r="S24" s="72"/>
      <c r="T24" s="73"/>
      <c r="U24" s="78">
        <f>P24-M24</f>
        <v>0</v>
      </c>
      <c r="V24" s="79">
        <f>Q24-R24</f>
        <v>0</v>
      </c>
      <c r="W24" s="80">
        <f>R24-M24</f>
        <v>0</v>
      </c>
    </row>
  </sheetData>
  <sheetProtection formatCells="0" insertHyperlinks="0" autoFilter="0"/>
  <mergeCells count="1">
    <mergeCell ref="H24:I24"/>
  </mergeCells>
  <conditionalFormatting sqref="U2:W24">
    <cfRule type="cellIs" dxfId="0" priority="1" operator="lessThan">
      <formula>0</formula>
    </cfRule>
    <cfRule type="cellIs" dxfId="1" priority="2" operator="greaterThan">
      <formula>0</formula>
    </cfRule>
    <cfRule type="cellIs" dxfId="2" priority="3" operator="equal">
      <formula>0</formula>
    </cfRule>
  </conditionalFormatting>
  <dataValidations count="8">
    <dataValidation type="list" allowBlank="1" showInputMessage="1" showErrorMessage="1" sqref="O19 O2:O18 O20:O24">
      <formula1>CAT!$S$2:$S$12</formula1>
    </dataValidation>
    <dataValidation type="list" allowBlank="1" showInputMessage="1" showErrorMessage="1" sqref="J19 J2:J18 J20:J24">
      <formula1>CAT!$K$2:$K$23</formula1>
    </dataValidation>
    <dataValidation type="list" allowBlank="1" showErrorMessage="1" errorTitle="错误提示" error="请输入下拉列表中的一个值" sqref="L19 L2:L15 L17:L18 L20:L24" errorStyle="information">
      <formula1>CAT!$AE$2:$AE$10</formula1>
    </dataValidation>
    <dataValidation type="list" allowBlank="1" showInputMessage="1" showErrorMessage="1" sqref="F19 F2:F18 F20:F24">
      <formula1>CAT!$AA$2:$AA$4</formula1>
    </dataValidation>
    <dataValidation type="list" allowBlank="1" showInputMessage="1" showErrorMessage="1" sqref="D19 D2:D18 D20:D24">
      <formula1>CAT!$O$2:$O$15</formula1>
    </dataValidation>
    <dataValidation type="list" allowBlank="1" showInputMessage="1" showErrorMessage="1" sqref="C19 C2:C18 C20:C53">
      <formula1>CAT!$G$2:$G$10</formula1>
    </dataValidation>
    <dataValidation type="list" allowBlank="1" showInputMessage="1" showErrorMessage="1" sqref="E19 E2:E18 E20:E24">
      <formula1>CAT!$W$2:$W$4</formula1>
    </dataValidation>
    <dataValidation type="list" allowBlank="1" showInputMessage="1" showErrorMessage="1" sqref="B19 B2:B18 B20:B50">
      <formula1>CAT!$C$2:$C$6</formula1>
    </dataValidation>
  </dataValidations>
  <hyperlinks>
    <hyperlink ref="E1" location="影响度与紧急度定义!A1" display="影响度"/>
    <hyperlink ref="F1" location="影响度与紧急度定义!A1" display="紧急性"/>
    <hyperlink ref="G1" location="优先级定义与SLA!A1" display="优先级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5"/>
  <sheetViews>
    <sheetView topLeftCell="N20" workbookViewId="0">
      <selection activeCell="N20" sqref="N20"/>
    </sheetView>
  </sheetViews>
  <sheetFormatPr defaultColWidth="9" defaultRowHeight="14.25"/>
  <cols>
    <col min="2" max="2" width="8.33333333333333" customWidth="1"/>
    <col min="3" max="3" width="13.6666666666667" customWidth="1"/>
    <col min="4" max="4" width="43.8833333333333" customWidth="1"/>
    <col min="6" max="6" width="9.775" customWidth="1"/>
    <col min="7" max="7" width="16.3333333333333" customWidth="1"/>
    <col min="8" max="8" width="14.8833333333333" customWidth="1"/>
    <col min="9" max="9" width="4.44166666666667" customWidth="1"/>
    <col min="10" max="10" width="11.5583333333333" customWidth="1"/>
    <col min="11" max="12" width="17.5583333333333" customWidth="1"/>
    <col min="13" max="13" width="4.44166666666667" customWidth="1"/>
    <col min="14" max="14" width="12.2166666666667" customWidth="1"/>
    <col min="15" max="15" width="16.2166666666667" customWidth="1"/>
    <col min="16" max="16" width="11.3333333333333" customWidth="1"/>
    <col min="18" max="18" width="21.9833333333333" customWidth="1"/>
    <col min="19" max="19" width="17.1083333333333" customWidth="1"/>
    <col min="20" max="20" width="10.4416666666667" customWidth="1"/>
    <col min="23" max="23" width="12.2166666666667" customWidth="1"/>
    <col min="24" max="24" width="39.3416666666667" customWidth="1"/>
    <col min="27" max="27" width="11.6666666666667" customWidth="1"/>
    <col min="28" max="28" width="27.125" customWidth="1"/>
    <col min="31" max="31" width="16.5" customWidth="1"/>
    <col min="32" max="32" width="14.375" customWidth="1"/>
  </cols>
  <sheetData>
    <row r="1" spans="1:32">
      <c r="A1" s="42" t="s">
        <v>127</v>
      </c>
      <c r="B1" s="42" t="s">
        <v>128</v>
      </c>
      <c r="C1" s="42" t="s">
        <v>129</v>
      </c>
      <c r="D1" s="42" t="s">
        <v>130</v>
      </c>
      <c r="E1" s="43" t="s">
        <v>131</v>
      </c>
      <c r="F1" s="43" t="s">
        <v>132</v>
      </c>
      <c r="G1" s="43" t="s">
        <v>133</v>
      </c>
      <c r="H1" s="43" t="s">
        <v>134</v>
      </c>
      <c r="I1" s="42" t="s">
        <v>135</v>
      </c>
      <c r="J1" s="42" t="s">
        <v>136</v>
      </c>
      <c r="K1" s="42" t="s">
        <v>137</v>
      </c>
      <c r="L1" s="42" t="s">
        <v>138</v>
      </c>
      <c r="M1" s="43" t="s">
        <v>139</v>
      </c>
      <c r="N1" s="43" t="s">
        <v>140</v>
      </c>
      <c r="O1" s="43" t="s">
        <v>141</v>
      </c>
      <c r="P1" s="43" t="s">
        <v>142</v>
      </c>
      <c r="Q1" s="42" t="s">
        <v>143</v>
      </c>
      <c r="R1" s="42" t="s">
        <v>144</v>
      </c>
      <c r="S1" s="42" t="s">
        <v>145</v>
      </c>
      <c r="T1" s="42" t="s">
        <v>146</v>
      </c>
      <c r="U1" s="43" t="s">
        <v>147</v>
      </c>
      <c r="V1" s="43" t="s">
        <v>4</v>
      </c>
      <c r="W1" s="43" t="s">
        <v>148</v>
      </c>
      <c r="X1" s="43" t="s">
        <v>149</v>
      </c>
      <c r="Y1" s="42" t="s">
        <v>150</v>
      </c>
      <c r="Z1" s="42" t="s">
        <v>5</v>
      </c>
      <c r="AA1" s="42" t="s">
        <v>151</v>
      </c>
      <c r="AB1" s="42" t="s">
        <v>152</v>
      </c>
      <c r="AC1" s="48" t="s">
        <v>153</v>
      </c>
      <c r="AD1" s="48" t="s">
        <v>154</v>
      </c>
      <c r="AE1" s="48" t="s">
        <v>155</v>
      </c>
      <c r="AF1" s="43" t="s">
        <v>152</v>
      </c>
    </row>
    <row r="2" spans="1:32">
      <c r="A2" s="81" t="s">
        <v>156</v>
      </c>
      <c r="B2" t="s">
        <v>157</v>
      </c>
      <c r="C2" t="str">
        <f>A2&amp;"-"&amp;B2</f>
        <v>01-Task</v>
      </c>
      <c r="D2" t="s">
        <v>158</v>
      </c>
      <c r="E2" s="81" t="s">
        <v>156</v>
      </c>
      <c r="F2" t="s">
        <v>159</v>
      </c>
      <c r="G2" t="str">
        <f>E2&amp;"-"&amp;F2</f>
        <v>01-MES</v>
      </c>
      <c r="I2" s="81" t="s">
        <v>156</v>
      </c>
      <c r="J2" t="s">
        <v>160</v>
      </c>
      <c r="K2" t="str">
        <f>I2&amp;"-"&amp;J2</f>
        <v>01-集团</v>
      </c>
      <c r="L2" t="s">
        <v>161</v>
      </c>
      <c r="M2" s="81" t="s">
        <v>162</v>
      </c>
      <c r="N2" t="s">
        <v>163</v>
      </c>
      <c r="O2" t="str">
        <f>M2&amp;"-"&amp;N2</f>
        <v>D01-Lixiang</v>
      </c>
      <c r="P2" t="s">
        <v>164</v>
      </c>
      <c r="Q2" s="82" t="s">
        <v>165</v>
      </c>
      <c r="R2" s="45" t="s">
        <v>166</v>
      </c>
      <c r="S2" t="str">
        <f>Q2&amp;"-"&amp;R2</f>
        <v>11-提出-业务澄清</v>
      </c>
      <c r="U2">
        <v>10</v>
      </c>
      <c r="V2" t="str">
        <f>影响度与紧急度定义!A4</f>
        <v>高</v>
      </c>
      <c r="W2" t="str">
        <f>U2&amp;"-"&amp;V2</f>
        <v>10-高</v>
      </c>
      <c r="X2" s="47" t="str">
        <f>影响度与紧急度定义!B4</f>
        <v>核心业务系统或服务完全不可用</v>
      </c>
      <c r="Y2">
        <v>10</v>
      </c>
      <c r="Z2" t="str">
        <f>影响度与紧急度定义!A11</f>
        <v>高</v>
      </c>
      <c r="AA2" t="str">
        <f>Y2&amp;"-"&amp;Z2</f>
        <v>10-高</v>
      </c>
      <c r="AB2" s="47" t="str">
        <f>影响度与紧急度定义!B11</f>
        <v>需要立即处理，延迟会导致严重后果</v>
      </c>
      <c r="AC2">
        <v>10</v>
      </c>
      <c r="AD2" s="49" t="s">
        <v>167</v>
      </c>
      <c r="AE2" s="49" t="s">
        <v>168</v>
      </c>
      <c r="AF2" s="47"/>
    </row>
    <row r="3" spans="1:32">
      <c r="A3" s="81" t="s">
        <v>169</v>
      </c>
      <c r="B3" t="s">
        <v>170</v>
      </c>
      <c r="C3" t="str">
        <f t="shared" ref="C3:C6" si="0">A3&amp;"-"&amp;B3</f>
        <v>02-Incident</v>
      </c>
      <c r="D3" t="s">
        <v>171</v>
      </c>
      <c r="E3" s="81" t="s">
        <v>169</v>
      </c>
      <c r="F3" t="s">
        <v>172</v>
      </c>
      <c r="G3" t="str">
        <f t="shared" ref="G3:G10" si="1">E3&amp;"-"&amp;F3</f>
        <v>02-U9C</v>
      </c>
      <c r="I3" s="81" t="s">
        <v>169</v>
      </c>
      <c r="J3" t="s">
        <v>173</v>
      </c>
      <c r="K3" t="str">
        <f t="shared" ref="K3:K18" si="2">I3&amp;"-"&amp;J3</f>
        <v>02-诸暨1厂</v>
      </c>
      <c r="M3" s="81" t="s">
        <v>174</v>
      </c>
      <c r="N3" t="s">
        <v>175</v>
      </c>
      <c r="O3" t="str">
        <f t="shared" ref="O3:O15" si="3">M3&amp;"-"&amp;N3</f>
        <v>D02-Weilai</v>
      </c>
      <c r="P3" t="s">
        <v>176</v>
      </c>
      <c r="Q3" s="82" t="s">
        <v>177</v>
      </c>
      <c r="R3" s="45" t="s">
        <v>178</v>
      </c>
      <c r="S3" t="str">
        <f t="shared" ref="S3:S6" si="4">Q3&amp;"-"&amp;R3</f>
        <v>12-提出-客户澄清</v>
      </c>
      <c r="U3">
        <v>20</v>
      </c>
      <c r="V3" t="str">
        <f>影响度与紧急度定义!A5</f>
        <v>中</v>
      </c>
      <c r="W3" t="str">
        <f t="shared" ref="W3:W4" si="5">U3&amp;"-"&amp;V3</f>
        <v>20-中</v>
      </c>
      <c r="X3" s="47" t="str">
        <f>影响度与紧急度定义!B5</f>
        <v>重要功能受损但非完全不可用，或核心系统性能严重下降</v>
      </c>
      <c r="Y3">
        <v>20</v>
      </c>
      <c r="Z3" t="str">
        <f>影响度与紧急度定义!A12</f>
        <v>中</v>
      </c>
      <c r="AA3" t="str">
        <f t="shared" ref="AA3:AA4" si="6">Y3&amp;"-"&amp;Z3</f>
        <v>20-中</v>
      </c>
      <c r="AB3" s="47" t="str">
        <f>影响度与紧急度定义!B12</f>
        <v>需要尽快处理，但可容忍一定延迟</v>
      </c>
      <c r="AC3">
        <v>10</v>
      </c>
      <c r="AD3" s="49" t="s">
        <v>167</v>
      </c>
      <c r="AE3" s="49" t="s">
        <v>179</v>
      </c>
      <c r="AF3" s="47"/>
    </row>
    <row r="4" spans="1:32">
      <c r="A4" s="81" t="s">
        <v>180</v>
      </c>
      <c r="B4" t="s">
        <v>181</v>
      </c>
      <c r="C4" t="str">
        <f t="shared" si="0"/>
        <v>03-Problem</v>
      </c>
      <c r="D4" t="s">
        <v>182</v>
      </c>
      <c r="E4" s="81" t="s">
        <v>180</v>
      </c>
      <c r="F4" t="s">
        <v>183</v>
      </c>
      <c r="G4" t="str">
        <f t="shared" si="1"/>
        <v>03-WMS</v>
      </c>
      <c r="I4" s="81" t="s">
        <v>180</v>
      </c>
      <c r="J4" t="s">
        <v>184</v>
      </c>
      <c r="K4" t="str">
        <f t="shared" si="2"/>
        <v>03-诸暨2厂</v>
      </c>
      <c r="M4" s="81" t="s">
        <v>185</v>
      </c>
      <c r="N4" t="s">
        <v>186</v>
      </c>
      <c r="O4" t="str">
        <f t="shared" si="3"/>
        <v>D03-Xiaopeng</v>
      </c>
      <c r="P4" t="s">
        <v>187</v>
      </c>
      <c r="Q4" s="82" t="s">
        <v>188</v>
      </c>
      <c r="R4" s="45" t="s">
        <v>189</v>
      </c>
      <c r="S4" t="str">
        <f t="shared" si="4"/>
        <v>13-提出-其他澄清</v>
      </c>
      <c r="U4">
        <v>30</v>
      </c>
      <c r="V4" t="str">
        <f>影响度与紧急度定义!A6</f>
        <v>低</v>
      </c>
      <c r="W4" t="str">
        <f t="shared" si="5"/>
        <v>30-低</v>
      </c>
      <c r="X4" s="47" t="str">
        <f>影响度与紧急度定义!B6</f>
        <v>非核心功能异常，或仅影响个别用户</v>
      </c>
      <c r="Y4">
        <v>30</v>
      </c>
      <c r="Z4" t="str">
        <f>影响度与紧急度定义!A13</f>
        <v>低</v>
      </c>
      <c r="AA4" t="str">
        <f t="shared" si="6"/>
        <v>30-低</v>
      </c>
      <c r="AB4" s="47" t="str">
        <f>影响度与紧急度定义!B13</f>
        <v>可按计划处理，延迟影响有限</v>
      </c>
      <c r="AC4">
        <v>10</v>
      </c>
      <c r="AD4" s="49" t="s">
        <v>167</v>
      </c>
      <c r="AE4" s="49" t="s">
        <v>32</v>
      </c>
      <c r="AF4" s="47"/>
    </row>
    <row r="5" spans="1:31">
      <c r="A5" s="81" t="s">
        <v>190</v>
      </c>
      <c r="B5" t="s">
        <v>191</v>
      </c>
      <c r="C5" t="str">
        <f t="shared" si="0"/>
        <v>04-Request</v>
      </c>
      <c r="D5" t="s">
        <v>192</v>
      </c>
      <c r="E5" s="81" t="s">
        <v>190</v>
      </c>
      <c r="F5" t="s">
        <v>193</v>
      </c>
      <c r="G5" t="str">
        <f t="shared" si="1"/>
        <v>04-PLM</v>
      </c>
      <c r="I5" s="81" t="s">
        <v>190</v>
      </c>
      <c r="J5" t="s">
        <v>194</v>
      </c>
      <c r="K5" t="str">
        <f t="shared" si="2"/>
        <v>04-诸暨3厂</v>
      </c>
      <c r="M5" s="81" t="s">
        <v>195</v>
      </c>
      <c r="N5" t="s">
        <v>196</v>
      </c>
      <c r="O5" t="str">
        <f t="shared" si="3"/>
        <v>D04-Geely</v>
      </c>
      <c r="P5" t="s">
        <v>197</v>
      </c>
      <c r="Q5" s="82" t="s">
        <v>198</v>
      </c>
      <c r="R5" s="45" t="s">
        <v>199</v>
      </c>
      <c r="S5" t="str">
        <f t="shared" si="4"/>
        <v>14-提出-技术澄清</v>
      </c>
      <c r="AC5">
        <v>20</v>
      </c>
      <c r="AD5" s="49" t="s">
        <v>132</v>
      </c>
      <c r="AE5" s="49" t="s">
        <v>45</v>
      </c>
    </row>
    <row r="6" spans="1:31">
      <c r="A6" s="81" t="s">
        <v>200</v>
      </c>
      <c r="B6" t="s">
        <v>201</v>
      </c>
      <c r="C6" t="str">
        <f t="shared" si="0"/>
        <v>05-Project</v>
      </c>
      <c r="D6" t="s">
        <v>202</v>
      </c>
      <c r="E6" s="81" t="s">
        <v>200</v>
      </c>
      <c r="F6" t="s">
        <v>203</v>
      </c>
      <c r="G6" t="str">
        <f t="shared" si="1"/>
        <v>05-Security</v>
      </c>
      <c r="I6" s="81" t="s">
        <v>200</v>
      </c>
      <c r="J6" t="s">
        <v>204</v>
      </c>
      <c r="K6" t="str">
        <f t="shared" si="2"/>
        <v>05-诸暨金晟</v>
      </c>
      <c r="M6" s="81" t="s">
        <v>205</v>
      </c>
      <c r="N6" t="s">
        <v>206</v>
      </c>
      <c r="O6" t="str">
        <f t="shared" si="3"/>
        <v>D05-GreatWall</v>
      </c>
      <c r="P6" t="s">
        <v>207</v>
      </c>
      <c r="Q6" s="46">
        <v>21</v>
      </c>
      <c r="R6" s="45" t="s">
        <v>208</v>
      </c>
      <c r="S6" t="str">
        <f t="shared" si="4"/>
        <v>21-接受</v>
      </c>
      <c r="AC6">
        <v>20</v>
      </c>
      <c r="AD6" s="49" t="s">
        <v>132</v>
      </c>
      <c r="AE6" s="49" t="s">
        <v>31</v>
      </c>
    </row>
    <row r="7" spans="1:31">
      <c r="A7" s="81" t="s">
        <v>209</v>
      </c>
      <c r="E7" s="81" t="s">
        <v>209</v>
      </c>
      <c r="F7" t="s">
        <v>210</v>
      </c>
      <c r="G7" t="str">
        <f t="shared" si="1"/>
        <v>06-Workplace</v>
      </c>
      <c r="I7" s="81" t="s">
        <v>209</v>
      </c>
      <c r="J7" t="s">
        <v>211</v>
      </c>
      <c r="K7" t="str">
        <f t="shared" si="2"/>
        <v>06-无锡弹簧</v>
      </c>
      <c r="M7" s="81" t="s">
        <v>212</v>
      </c>
      <c r="N7" t="s">
        <v>213</v>
      </c>
      <c r="O7" t="str">
        <f t="shared" si="3"/>
        <v>D06-FAW</v>
      </c>
      <c r="P7" t="s">
        <v>214</v>
      </c>
      <c r="Q7" s="46">
        <v>31</v>
      </c>
      <c r="R7" s="45" t="s">
        <v>215</v>
      </c>
      <c r="S7" t="str">
        <f t="shared" ref="S7:S12" si="7">Q7&amp;"-"&amp;R7</f>
        <v>31-评估</v>
      </c>
      <c r="AC7">
        <v>20</v>
      </c>
      <c r="AD7" s="49" t="s">
        <v>132</v>
      </c>
      <c r="AE7" s="49" t="s">
        <v>81</v>
      </c>
    </row>
    <row r="8" spans="1:31">
      <c r="A8" s="81" t="s">
        <v>216</v>
      </c>
      <c r="E8" s="81" t="s">
        <v>216</v>
      </c>
      <c r="F8" t="s">
        <v>217</v>
      </c>
      <c r="G8" t="str">
        <f t="shared" si="1"/>
        <v>07-研发云</v>
      </c>
      <c r="I8" s="81" t="s">
        <v>216</v>
      </c>
      <c r="J8" t="s">
        <v>218</v>
      </c>
      <c r="K8" t="str">
        <f t="shared" si="2"/>
        <v>07-重庆工厂</v>
      </c>
      <c r="M8" s="81" t="s">
        <v>219</v>
      </c>
      <c r="N8" t="s">
        <v>220</v>
      </c>
      <c r="O8" t="str">
        <f t="shared" si="3"/>
        <v>I01-Ford</v>
      </c>
      <c r="P8" t="s">
        <v>221</v>
      </c>
      <c r="Q8" s="46">
        <v>41</v>
      </c>
      <c r="R8" s="45" t="s">
        <v>222</v>
      </c>
      <c r="S8" t="str">
        <f t="shared" si="7"/>
        <v>41-处理</v>
      </c>
      <c r="AC8">
        <v>20</v>
      </c>
      <c r="AD8" s="49" t="s">
        <v>132</v>
      </c>
      <c r="AE8" s="49" t="s">
        <v>105</v>
      </c>
    </row>
    <row r="9" spans="1:31">
      <c r="A9" s="81" t="s">
        <v>223</v>
      </c>
      <c r="E9" s="81" t="s">
        <v>223</v>
      </c>
      <c r="F9" t="s">
        <v>224</v>
      </c>
      <c r="G9" t="str">
        <f t="shared" si="1"/>
        <v>08-PDA</v>
      </c>
      <c r="I9" s="81" t="s">
        <v>223</v>
      </c>
      <c r="J9" t="s">
        <v>225</v>
      </c>
      <c r="K9" t="str">
        <f t="shared" si="2"/>
        <v>08-南京工厂</v>
      </c>
      <c r="M9" s="81" t="s">
        <v>226</v>
      </c>
      <c r="N9" t="s">
        <v>227</v>
      </c>
      <c r="O9" t="str">
        <f t="shared" si="3"/>
        <v>I02-Stellantis</v>
      </c>
      <c r="P9" t="s">
        <v>228</v>
      </c>
      <c r="Q9" s="46">
        <v>51</v>
      </c>
      <c r="R9" s="45" t="s">
        <v>229</v>
      </c>
      <c r="S9" t="str">
        <f t="shared" si="7"/>
        <v>51-验证</v>
      </c>
      <c r="AC9">
        <v>30</v>
      </c>
      <c r="AD9" s="49" t="s">
        <v>230</v>
      </c>
      <c r="AE9" s="49" t="s">
        <v>118</v>
      </c>
    </row>
    <row r="10" spans="1:31">
      <c r="A10" s="81" t="s">
        <v>231</v>
      </c>
      <c r="E10" s="81" t="s">
        <v>231</v>
      </c>
      <c r="F10" t="s">
        <v>232</v>
      </c>
      <c r="G10" t="str">
        <f t="shared" si="1"/>
        <v>09-Network</v>
      </c>
      <c r="I10" s="81" t="s">
        <v>231</v>
      </c>
      <c r="J10" t="s">
        <v>233</v>
      </c>
      <c r="K10" t="str">
        <f t="shared" si="2"/>
        <v>09-河南工厂</v>
      </c>
      <c r="M10" s="81" t="s">
        <v>234</v>
      </c>
      <c r="N10" t="s">
        <v>235</v>
      </c>
      <c r="O10" t="str">
        <f t="shared" si="3"/>
        <v>I03-BMW</v>
      </c>
      <c r="P10" t="s">
        <v>236</v>
      </c>
      <c r="Q10" s="46">
        <v>61</v>
      </c>
      <c r="R10" s="45" t="s">
        <v>237</v>
      </c>
      <c r="S10" t="str">
        <f t="shared" si="7"/>
        <v>61-关闭</v>
      </c>
      <c r="AC10">
        <v>30</v>
      </c>
      <c r="AD10" s="49" t="s">
        <v>230</v>
      </c>
      <c r="AE10" s="49" t="s">
        <v>238</v>
      </c>
    </row>
    <row r="11" spans="1:19">
      <c r="A11" s="81" t="s">
        <v>239</v>
      </c>
      <c r="E11" s="81" t="s">
        <v>239</v>
      </c>
      <c r="I11" s="81" t="s">
        <v>239</v>
      </c>
      <c r="J11" t="s">
        <v>240</v>
      </c>
      <c r="K11" t="str">
        <f t="shared" si="2"/>
        <v>10-德国工厂</v>
      </c>
      <c r="M11" s="81" t="s">
        <v>241</v>
      </c>
      <c r="N11" t="s">
        <v>242</v>
      </c>
      <c r="O11" t="str">
        <f t="shared" si="3"/>
        <v>I04-VW</v>
      </c>
      <c r="P11" t="s">
        <v>243</v>
      </c>
      <c r="Q11" s="46">
        <v>65</v>
      </c>
      <c r="R11" s="45" t="s">
        <v>244</v>
      </c>
      <c r="S11" t="str">
        <f t="shared" si="7"/>
        <v>65-关闭-用户撤销</v>
      </c>
    </row>
    <row r="12" spans="9:19">
      <c r="I12" s="81" t="s">
        <v>165</v>
      </c>
      <c r="J12" t="s">
        <v>245</v>
      </c>
      <c r="K12" t="str">
        <f t="shared" si="2"/>
        <v>11-墨西哥工厂</v>
      </c>
      <c r="M12" s="81" t="s">
        <v>246</v>
      </c>
      <c r="N12" t="s">
        <v>247</v>
      </c>
      <c r="O12" t="str">
        <f t="shared" si="3"/>
        <v>I05-Volve</v>
      </c>
      <c r="P12" t="s">
        <v>248</v>
      </c>
      <c r="Q12" s="46">
        <v>71</v>
      </c>
      <c r="R12" s="45" t="s">
        <v>249</v>
      </c>
      <c r="S12" t="str">
        <f t="shared" si="7"/>
        <v>71-其他</v>
      </c>
    </row>
    <row r="13" spans="9:16">
      <c r="I13" s="81" t="s">
        <v>177</v>
      </c>
      <c r="J13" t="s">
        <v>250</v>
      </c>
      <c r="K13" t="str">
        <f t="shared" si="2"/>
        <v>12-摩洛哥工厂</v>
      </c>
      <c r="M13" s="81" t="s">
        <v>251</v>
      </c>
      <c r="N13" t="s">
        <v>252</v>
      </c>
      <c r="O13" t="str">
        <f t="shared" si="3"/>
        <v>A01-All</v>
      </c>
      <c r="P13" t="s">
        <v>253</v>
      </c>
    </row>
    <row r="14" spans="9:16">
      <c r="I14" s="81" t="s">
        <v>251</v>
      </c>
      <c r="J14" t="s">
        <v>252</v>
      </c>
      <c r="K14" t="str">
        <f t="shared" si="2"/>
        <v>A01-All</v>
      </c>
      <c r="L14" t="s">
        <v>253</v>
      </c>
      <c r="M14" t="s">
        <v>254</v>
      </c>
      <c r="N14" t="s">
        <v>255</v>
      </c>
      <c r="O14" t="str">
        <f t="shared" si="3"/>
        <v>A02-Domestic</v>
      </c>
      <c r="P14" t="s">
        <v>256</v>
      </c>
    </row>
    <row r="15" spans="9:16">
      <c r="I15" t="s">
        <v>254</v>
      </c>
      <c r="J15" t="s">
        <v>255</v>
      </c>
      <c r="K15" t="str">
        <f t="shared" si="2"/>
        <v>A02-Domestic</v>
      </c>
      <c r="L15" t="s">
        <v>256</v>
      </c>
      <c r="M15" t="s">
        <v>257</v>
      </c>
      <c r="N15" t="s">
        <v>258</v>
      </c>
      <c r="O15" t="str">
        <f t="shared" si="3"/>
        <v>A03-International</v>
      </c>
      <c r="P15" t="s">
        <v>259</v>
      </c>
    </row>
    <row r="16" spans="9:12">
      <c r="I16" t="s">
        <v>257</v>
      </c>
      <c r="J16" t="s">
        <v>258</v>
      </c>
      <c r="K16" t="str">
        <f t="shared" si="2"/>
        <v>A03-International</v>
      </c>
      <c r="L16" t="s">
        <v>259</v>
      </c>
    </row>
    <row r="17" spans="9:12">
      <c r="I17" t="s">
        <v>260</v>
      </c>
      <c r="J17" t="s">
        <v>261</v>
      </c>
      <c r="K17" t="str">
        <f t="shared" si="2"/>
        <v>A21-Zhuji</v>
      </c>
      <c r="L17" t="s">
        <v>262</v>
      </c>
    </row>
    <row r="18" spans="9:12">
      <c r="I18" t="s">
        <v>263</v>
      </c>
      <c r="J18" t="s">
        <v>264</v>
      </c>
      <c r="K18" t="str">
        <f t="shared" si="2"/>
        <v>A22-Non-Zhuji</v>
      </c>
      <c r="L18" t="s">
        <v>265</v>
      </c>
    </row>
    <row r="19" spans="9:12">
      <c r="I19" s="22" t="s">
        <v>266</v>
      </c>
      <c r="J19" t="s">
        <v>267</v>
      </c>
      <c r="K19" t="str">
        <f t="shared" ref="K19:K25" si="8">I19&amp;"-"&amp;J19</f>
        <v>G21-HRG</v>
      </c>
      <c r="L19" t="s">
        <v>268</v>
      </c>
    </row>
    <row r="20" spans="9:12">
      <c r="I20" s="22" t="s">
        <v>269</v>
      </c>
      <c r="J20" t="s">
        <v>270</v>
      </c>
      <c r="K20" t="str">
        <f t="shared" si="8"/>
        <v>G22-PRG</v>
      </c>
      <c r="L20" t="s">
        <v>271</v>
      </c>
    </row>
    <row r="21" spans="9:12">
      <c r="I21" s="22" t="s">
        <v>272</v>
      </c>
      <c r="J21" t="s">
        <v>273</v>
      </c>
      <c r="K21" t="str">
        <f t="shared" si="8"/>
        <v>G23-ITG</v>
      </c>
      <c r="L21" t="s">
        <v>274</v>
      </c>
    </row>
    <row r="22" spans="9:12">
      <c r="I22" s="22" t="s">
        <v>275</v>
      </c>
      <c r="J22" t="s">
        <v>276</v>
      </c>
      <c r="K22" t="str">
        <f t="shared" si="8"/>
        <v>G24-FTG</v>
      </c>
      <c r="L22" t="s">
        <v>277</v>
      </c>
    </row>
    <row r="23" spans="9:12">
      <c r="I23" s="22" t="s">
        <v>278</v>
      </c>
      <c r="J23" t="s">
        <v>279</v>
      </c>
      <c r="K23" t="str">
        <f t="shared" si="8"/>
        <v>G25-MGG</v>
      </c>
      <c r="L23" t="s">
        <v>280</v>
      </c>
    </row>
    <row r="24" spans="9:12">
      <c r="I24" s="22" t="s">
        <v>281</v>
      </c>
      <c r="J24" t="s">
        <v>282</v>
      </c>
      <c r="K24" t="str">
        <f t="shared" si="8"/>
        <v>G26-QMG</v>
      </c>
      <c r="L24" t="s">
        <v>283</v>
      </c>
    </row>
    <row r="25" spans="9:12">
      <c r="I25" s="22" t="s">
        <v>284</v>
      </c>
      <c r="J25" t="s">
        <v>285</v>
      </c>
      <c r="K25" t="str">
        <f t="shared" si="8"/>
        <v>G27-LOG</v>
      </c>
      <c r="L25" t="s">
        <v>286</v>
      </c>
    </row>
  </sheetData>
  <sheetProtection formatCells="0" insertHyperlinks="0" autoFilter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5"/>
  <sheetViews>
    <sheetView workbookViewId="0">
      <selection activeCell="G14" sqref="G14"/>
    </sheetView>
  </sheetViews>
  <sheetFormatPr defaultColWidth="9" defaultRowHeight="14.25" outlineLevelRow="4"/>
  <cols>
    <col min="1" max="1" width="3.21666666666667" customWidth="1"/>
    <col min="3" max="3" width="13.2166666666667" customWidth="1"/>
    <col min="4" max="4" width="13.2166666666667" style="22" customWidth="1"/>
    <col min="5" max="6" width="22.3333333333333" customWidth="1"/>
    <col min="7" max="11" width="13.2166666666667" customWidth="1"/>
    <col min="12" max="13" width="22.3333333333333" customWidth="1"/>
  </cols>
  <sheetData>
    <row r="1" ht="15"/>
    <row r="2" ht="15" spans="2:13">
      <c r="B2" s="23" t="s">
        <v>287</v>
      </c>
      <c r="C2" s="24"/>
      <c r="D2" s="25"/>
      <c r="E2" s="32"/>
      <c r="F2" s="32"/>
      <c r="G2" s="32"/>
      <c r="H2" s="32"/>
      <c r="I2" s="32"/>
      <c r="J2" s="32"/>
      <c r="K2" s="32"/>
      <c r="L2" s="32"/>
      <c r="M2" s="32"/>
    </row>
    <row r="3" ht="27" customHeight="1" spans="2:13">
      <c r="B3" s="26" t="s">
        <v>0</v>
      </c>
      <c r="C3" s="27" t="s">
        <v>288</v>
      </c>
      <c r="D3" s="27" t="s">
        <v>289</v>
      </c>
      <c r="E3" s="27" t="s">
        <v>290</v>
      </c>
      <c r="F3" s="27"/>
      <c r="G3" s="27" t="s">
        <v>11</v>
      </c>
      <c r="H3" s="27" t="s">
        <v>291</v>
      </c>
      <c r="I3" s="27" t="s">
        <v>13</v>
      </c>
      <c r="J3" s="27" t="s">
        <v>292</v>
      </c>
      <c r="K3" s="27" t="s">
        <v>293</v>
      </c>
      <c r="L3" s="27" t="s">
        <v>18</v>
      </c>
      <c r="M3" s="39"/>
    </row>
    <row r="4" ht="37.2" customHeight="1" spans="2:13">
      <c r="B4" s="28">
        <v>1</v>
      </c>
      <c r="C4" s="29" t="s">
        <v>294</v>
      </c>
      <c r="D4" s="22" t="s">
        <v>159</v>
      </c>
      <c r="E4" s="29" t="s">
        <v>295</v>
      </c>
      <c r="F4" s="29"/>
      <c r="G4" s="29" t="s">
        <v>296</v>
      </c>
      <c r="H4" s="33">
        <v>43466</v>
      </c>
      <c r="I4" s="29" t="s">
        <v>297</v>
      </c>
      <c r="J4" s="29" t="s">
        <v>298</v>
      </c>
      <c r="K4" s="35">
        <v>43477</v>
      </c>
      <c r="L4" s="36" t="s">
        <v>299</v>
      </c>
      <c r="M4" s="40"/>
    </row>
    <row r="5" ht="37.2" customHeight="1" spans="2:13">
      <c r="B5" s="30">
        <v>2</v>
      </c>
      <c r="C5" s="31" t="s">
        <v>300</v>
      </c>
      <c r="D5" s="31" t="s">
        <v>172</v>
      </c>
      <c r="E5" s="31" t="s">
        <v>301</v>
      </c>
      <c r="F5" s="31"/>
      <c r="G5" s="31" t="s">
        <v>296</v>
      </c>
      <c r="H5" s="34">
        <v>43466</v>
      </c>
      <c r="I5" s="31" t="s">
        <v>297</v>
      </c>
      <c r="J5" s="31" t="s">
        <v>302</v>
      </c>
      <c r="K5" s="37">
        <v>43477</v>
      </c>
      <c r="L5" s="38" t="s">
        <v>303</v>
      </c>
      <c r="M5" s="41"/>
    </row>
  </sheetData>
  <sheetProtection formatCells="0" insertHyperlinks="0" autoFilter="0"/>
  <mergeCells count="11">
    <mergeCell ref="B2:C2"/>
    <mergeCell ref="E2:F2"/>
    <mergeCell ref="G2:H2"/>
    <mergeCell ref="I2:J2"/>
    <mergeCell ref="K2:L2"/>
    <mergeCell ref="E3:F3"/>
    <mergeCell ref="L3:M3"/>
    <mergeCell ref="E4:F4"/>
    <mergeCell ref="L4:M4"/>
    <mergeCell ref="E5:F5"/>
    <mergeCell ref="L5:M5"/>
  </mergeCells>
  <dataValidations count="2">
    <dataValidation type="list" allowBlank="1" showInputMessage="1" showErrorMessage="1" sqref="J4:J5">
      <formula1>"未解决,已解决"</formula1>
    </dataValidation>
    <dataValidation type="list" allowBlank="1" showInputMessage="1" showErrorMessage="1" sqref="C4:C5">
      <formula1>"风险,问题"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3"/>
  <sheetViews>
    <sheetView workbookViewId="0">
      <pane ySplit="3" topLeftCell="A4" activePane="bottomLeft" state="frozen"/>
      <selection/>
      <selection pane="bottomLeft" activeCell="B10" sqref="B10:B13"/>
    </sheetView>
  </sheetViews>
  <sheetFormatPr defaultColWidth="8" defaultRowHeight="14.25" outlineLevelCol="4"/>
  <cols>
    <col min="1" max="1" width="18" style="1" customWidth="1"/>
    <col min="2" max="2" width="16" style="1" customWidth="1"/>
    <col min="3" max="3" width="55.4416666666667" style="1" customWidth="1"/>
    <col min="4" max="4" width="19.2166666666667" style="1" customWidth="1"/>
    <col min="5" max="5" width="22" style="1" customWidth="1"/>
    <col min="6" max="16384" width="8" style="1"/>
  </cols>
  <sheetData>
    <row r="1" ht="21" spans="1:1">
      <c r="A1" s="2" t="s">
        <v>304</v>
      </c>
    </row>
    <row r="3" ht="15" spans="1:4">
      <c r="A3" s="3" t="s">
        <v>305</v>
      </c>
      <c r="B3" s="3" t="s">
        <v>306</v>
      </c>
      <c r="C3" s="3" t="s">
        <v>307</v>
      </c>
      <c r="D3" s="3" t="s">
        <v>308</v>
      </c>
    </row>
    <row r="4" ht="18" spans="1:4">
      <c r="A4" s="14" t="s">
        <v>306</v>
      </c>
      <c r="B4" s="16" t="s">
        <v>309</v>
      </c>
      <c r="C4" s="16" t="s">
        <v>309</v>
      </c>
      <c r="D4" s="17" t="s">
        <v>310</v>
      </c>
    </row>
    <row r="5" ht="18" spans="1:4">
      <c r="A5" s="14" t="s">
        <v>307</v>
      </c>
      <c r="B5" s="16" t="s">
        <v>309</v>
      </c>
      <c r="C5" s="17" t="s">
        <v>310</v>
      </c>
      <c r="D5" s="18" t="s">
        <v>311</v>
      </c>
    </row>
    <row r="6" ht="18" spans="1:4">
      <c r="A6" s="14" t="s">
        <v>308</v>
      </c>
      <c r="B6" s="17" t="s">
        <v>310</v>
      </c>
      <c r="C6" s="18" t="s">
        <v>311</v>
      </c>
      <c r="D6" s="19" t="s">
        <v>312</v>
      </c>
    </row>
    <row r="8" ht="18" spans="1:1">
      <c r="A8" s="20" t="s">
        <v>313</v>
      </c>
    </row>
    <row r="9" ht="15" spans="1:5">
      <c r="A9" s="3" t="s">
        <v>6</v>
      </c>
      <c r="B9" s="3" t="s">
        <v>314</v>
      </c>
      <c r="C9" s="21" t="s">
        <v>315</v>
      </c>
      <c r="D9" s="21" t="s">
        <v>316</v>
      </c>
      <c r="E9" s="21" t="s">
        <v>317</v>
      </c>
    </row>
    <row r="10" ht="16.5" spans="1:5">
      <c r="A10" s="4" t="s">
        <v>309</v>
      </c>
      <c r="B10" s="6" t="s">
        <v>318</v>
      </c>
      <c r="C10" s="5" t="s">
        <v>319</v>
      </c>
      <c r="D10" s="5" t="s">
        <v>320</v>
      </c>
      <c r="E10" s="5" t="s">
        <v>321</v>
      </c>
    </row>
    <row r="11" ht="16.5" spans="1:5">
      <c r="A11" s="7" t="s">
        <v>310</v>
      </c>
      <c r="B11" s="6" t="s">
        <v>306</v>
      </c>
      <c r="C11" s="5" t="s">
        <v>322</v>
      </c>
      <c r="D11" s="5" t="s">
        <v>323</v>
      </c>
      <c r="E11" s="5" t="s">
        <v>324</v>
      </c>
    </row>
    <row r="12" ht="16.5" spans="1:5">
      <c r="A12" s="8" t="s">
        <v>311</v>
      </c>
      <c r="B12" s="6" t="s">
        <v>307</v>
      </c>
      <c r="C12" s="5" t="s">
        <v>325</v>
      </c>
      <c r="D12" s="5" t="s">
        <v>326</v>
      </c>
      <c r="E12" s="5" t="s">
        <v>327</v>
      </c>
    </row>
    <row r="13" ht="16.5" spans="1:5">
      <c r="A13" s="9" t="s">
        <v>312</v>
      </c>
      <c r="B13" s="6" t="s">
        <v>308</v>
      </c>
      <c r="C13" s="5" t="s">
        <v>328</v>
      </c>
      <c r="D13" s="5" t="s">
        <v>327</v>
      </c>
      <c r="E13" s="5" t="s">
        <v>329</v>
      </c>
    </row>
  </sheetData>
  <sheetProtection formatCells="0" insertHyperlinks="0" autoFilter="0"/>
  <mergeCells count="2">
    <mergeCell ref="A1:E1"/>
    <mergeCell ref="A8:E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9"/>
  <sheetViews>
    <sheetView workbookViewId="0">
      <pane ySplit="3" topLeftCell="A4" activePane="bottomLeft" state="frozen"/>
      <selection/>
      <selection pane="bottomLeft" activeCell="C27" sqref="C27"/>
    </sheetView>
  </sheetViews>
  <sheetFormatPr defaultColWidth="8" defaultRowHeight="14.25" outlineLevelCol="3"/>
  <cols>
    <col min="1" max="1" width="10" style="1" customWidth="1"/>
    <col min="2" max="2" width="57.6666666666667" style="1" customWidth="1"/>
    <col min="3" max="3" width="40.8833333333333" style="1" customWidth="1"/>
    <col min="4" max="4" width="44" style="1" customWidth="1"/>
    <col min="5" max="16384" width="8" style="1"/>
  </cols>
  <sheetData>
    <row r="1" ht="21" spans="1:1">
      <c r="A1" s="2" t="s">
        <v>330</v>
      </c>
    </row>
    <row r="3" ht="15" spans="1:4">
      <c r="A3" s="3" t="s">
        <v>331</v>
      </c>
      <c r="B3" s="3" t="s">
        <v>315</v>
      </c>
      <c r="C3" s="3" t="s">
        <v>332</v>
      </c>
      <c r="D3" s="3" t="s">
        <v>333</v>
      </c>
    </row>
    <row r="4" ht="16.5" spans="1:4">
      <c r="A4" s="14" t="s">
        <v>334</v>
      </c>
      <c r="B4" s="5" t="s">
        <v>335</v>
      </c>
      <c r="C4" s="5" t="s">
        <v>336</v>
      </c>
      <c r="D4" s="5" t="s">
        <v>337</v>
      </c>
    </row>
    <row r="5" ht="16.5" spans="1:4">
      <c r="A5" s="14" t="s">
        <v>338</v>
      </c>
      <c r="B5" s="5" t="s">
        <v>339</v>
      </c>
      <c r="C5" s="5" t="s">
        <v>340</v>
      </c>
      <c r="D5" s="5" t="s">
        <v>341</v>
      </c>
    </row>
    <row r="6" ht="16.5" spans="1:4">
      <c r="A6" s="14" t="s">
        <v>342</v>
      </c>
      <c r="B6" s="5" t="s">
        <v>343</v>
      </c>
      <c r="C6" s="5" t="s">
        <v>344</v>
      </c>
      <c r="D6" s="5" t="s">
        <v>345</v>
      </c>
    </row>
    <row r="8" ht="21" spans="1:1">
      <c r="A8" s="2" t="s">
        <v>346</v>
      </c>
    </row>
    <row r="10" ht="15" spans="1:4">
      <c r="A10" s="3" t="s">
        <v>331</v>
      </c>
      <c r="B10" s="3" t="s">
        <v>315</v>
      </c>
      <c r="C10" s="3" t="s">
        <v>347</v>
      </c>
      <c r="D10" s="3" t="s">
        <v>348</v>
      </c>
    </row>
    <row r="11" ht="16.5" spans="1:4">
      <c r="A11" s="15" t="s">
        <v>334</v>
      </c>
      <c r="B11" s="5" t="s">
        <v>349</v>
      </c>
      <c r="C11" s="5" t="s">
        <v>350</v>
      </c>
      <c r="D11" s="5" t="s">
        <v>351</v>
      </c>
    </row>
    <row r="12" ht="16.5" spans="1:4">
      <c r="A12" s="15" t="s">
        <v>338</v>
      </c>
      <c r="B12" s="5" t="s">
        <v>352</v>
      </c>
      <c r="C12" s="5" t="s">
        <v>353</v>
      </c>
      <c r="D12" s="5" t="s">
        <v>354</v>
      </c>
    </row>
    <row r="13" ht="16.5" spans="1:4">
      <c r="A13" s="15" t="s">
        <v>342</v>
      </c>
      <c r="B13" s="5" t="s">
        <v>355</v>
      </c>
      <c r="C13" s="5" t="s">
        <v>356</v>
      </c>
      <c r="D13" s="5" t="s">
        <v>357</v>
      </c>
    </row>
    <row r="16" spans="1:1">
      <c r="A16" s="1" t="s">
        <v>358</v>
      </c>
    </row>
    <row r="17" spans="1:2">
      <c r="A17" s="1" t="s">
        <v>359</v>
      </c>
      <c r="B17" s="1" t="s">
        <v>172</v>
      </c>
    </row>
    <row r="18" spans="1:2">
      <c r="A18" s="1" t="s">
        <v>360</v>
      </c>
      <c r="B18" s="1" t="s">
        <v>159</v>
      </c>
    </row>
    <row r="19" spans="1:2">
      <c r="A19" s="1" t="s">
        <v>361</v>
      </c>
      <c r="B19" s="1" t="s">
        <v>183</v>
      </c>
    </row>
  </sheetData>
  <sheetProtection formatCells="0" insertHyperlinks="0" autoFilter="0"/>
  <mergeCells count="2">
    <mergeCell ref="A1:D1"/>
    <mergeCell ref="A8:D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7"/>
  <sheetViews>
    <sheetView workbookViewId="0">
      <pane ySplit="3" topLeftCell="A4" activePane="bottomLeft" state="frozen"/>
      <selection/>
      <selection pane="bottomLeft" activeCell="F15" sqref="F15"/>
    </sheetView>
  </sheetViews>
  <sheetFormatPr defaultColWidth="8" defaultRowHeight="14.25" outlineLevelRow="6" outlineLevelCol="7"/>
  <cols>
    <col min="1" max="1" width="10" style="1" customWidth="1"/>
    <col min="2" max="2" width="14" style="1" customWidth="1"/>
    <col min="3" max="3" width="22" style="1" customWidth="1"/>
    <col min="4" max="4" width="40" style="1" customWidth="1"/>
    <col min="5" max="5" width="22" style="1" customWidth="1"/>
    <col min="6" max="6" width="28.3333333333333" style="1" customWidth="1"/>
    <col min="7" max="8" width="35" style="1" customWidth="1"/>
    <col min="9" max="16384" width="8" style="1"/>
  </cols>
  <sheetData>
    <row r="1" ht="21" spans="1:1">
      <c r="A1" s="2" t="s">
        <v>362</v>
      </c>
    </row>
    <row r="3" ht="15" spans="1:8">
      <c r="A3" s="3" t="s">
        <v>6</v>
      </c>
      <c r="B3" s="3" t="s">
        <v>314</v>
      </c>
      <c r="C3" s="3" t="s">
        <v>363</v>
      </c>
      <c r="D3" s="3" t="s">
        <v>364</v>
      </c>
      <c r="E3" s="3" t="s">
        <v>365</v>
      </c>
      <c r="F3" s="3" t="s">
        <v>366</v>
      </c>
      <c r="G3" s="3" t="s">
        <v>367</v>
      </c>
      <c r="H3" s="3" t="s">
        <v>368</v>
      </c>
    </row>
    <row r="4" ht="33" spans="1:8">
      <c r="A4" s="10" t="s">
        <v>309</v>
      </c>
      <c r="B4" s="6" t="s">
        <v>369</v>
      </c>
      <c r="C4" s="5" t="s">
        <v>370</v>
      </c>
      <c r="D4" s="5" t="s">
        <v>371</v>
      </c>
      <c r="E4" s="5" t="s">
        <v>372</v>
      </c>
      <c r="F4" s="5" t="s">
        <v>373</v>
      </c>
      <c r="G4" s="5" t="s">
        <v>374</v>
      </c>
      <c r="H4" s="5" t="s">
        <v>375</v>
      </c>
    </row>
    <row r="5" ht="33" spans="1:8">
      <c r="A5" s="11" t="s">
        <v>310</v>
      </c>
      <c r="B5" s="6" t="s">
        <v>376</v>
      </c>
      <c r="C5" s="5" t="s">
        <v>377</v>
      </c>
      <c r="D5" s="5" t="s">
        <v>378</v>
      </c>
      <c r="E5" s="5" t="s">
        <v>379</v>
      </c>
      <c r="F5" s="5" t="s">
        <v>380</v>
      </c>
      <c r="G5" s="5" t="s">
        <v>381</v>
      </c>
      <c r="H5" s="5" t="s">
        <v>382</v>
      </c>
    </row>
    <row r="6" ht="33" spans="1:8">
      <c r="A6" s="12" t="s">
        <v>311</v>
      </c>
      <c r="B6" s="6" t="s">
        <v>383</v>
      </c>
      <c r="C6" s="5" t="s">
        <v>384</v>
      </c>
      <c r="D6" s="5" t="s">
        <v>385</v>
      </c>
      <c r="E6" s="5" t="s">
        <v>386</v>
      </c>
      <c r="F6" s="5" t="s">
        <v>387</v>
      </c>
      <c r="G6" s="5" t="s">
        <v>388</v>
      </c>
      <c r="H6" s="5" t="s">
        <v>389</v>
      </c>
    </row>
    <row r="7" ht="33" spans="1:8">
      <c r="A7" s="13" t="s">
        <v>312</v>
      </c>
      <c r="B7" s="6" t="s">
        <v>390</v>
      </c>
      <c r="C7" s="5" t="s">
        <v>391</v>
      </c>
      <c r="D7" s="5" t="s">
        <v>392</v>
      </c>
      <c r="E7" s="5" t="s">
        <v>387</v>
      </c>
      <c r="F7" s="5" t="s">
        <v>393</v>
      </c>
      <c r="G7" s="5" t="s">
        <v>394</v>
      </c>
      <c r="H7" s="5" t="s">
        <v>395</v>
      </c>
    </row>
  </sheetData>
  <sheetProtection formatCells="0" insertHyperlinks="0" autoFilter="0"/>
  <mergeCells count="1">
    <mergeCell ref="A1:H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9"/>
  <sheetViews>
    <sheetView workbookViewId="0">
      <pane ySplit="3" topLeftCell="A4" activePane="bottomLeft" state="frozen"/>
      <selection/>
      <selection pane="bottomLeft" activeCell="C15" sqref="C15"/>
    </sheetView>
  </sheetViews>
  <sheetFormatPr defaultColWidth="8" defaultRowHeight="14.25" outlineLevelCol="5"/>
  <cols>
    <col min="1" max="1" width="10" style="1" customWidth="1"/>
    <col min="2" max="2" width="38" style="1" customWidth="1"/>
    <col min="3" max="4" width="10" style="1" customWidth="1"/>
    <col min="5" max="5" width="25" style="1" customWidth="1"/>
    <col min="6" max="6" width="62.8833333333333" style="1" customWidth="1"/>
    <col min="7" max="16384" width="8" style="1"/>
  </cols>
  <sheetData>
    <row r="1" ht="21" spans="1:1">
      <c r="A1" s="2" t="s">
        <v>396</v>
      </c>
    </row>
    <row r="3" ht="15" spans="1:6">
      <c r="A3" s="3" t="s">
        <v>6</v>
      </c>
      <c r="B3" s="3" t="s">
        <v>397</v>
      </c>
      <c r="C3" s="3" t="s">
        <v>4</v>
      </c>
      <c r="D3" s="3" t="s">
        <v>398</v>
      </c>
      <c r="E3" s="3" t="s">
        <v>332</v>
      </c>
      <c r="F3" s="3" t="s">
        <v>399</v>
      </c>
    </row>
    <row r="4" ht="16.5" spans="1:6">
      <c r="A4" s="4" t="s">
        <v>309</v>
      </c>
      <c r="B4" s="5" t="s">
        <v>400</v>
      </c>
      <c r="C4" s="6" t="s">
        <v>334</v>
      </c>
      <c r="D4" s="6" t="s">
        <v>334</v>
      </c>
      <c r="E4" s="6" t="s">
        <v>401</v>
      </c>
      <c r="F4" s="5" t="s">
        <v>402</v>
      </c>
    </row>
    <row r="5" ht="16.5" spans="1:6">
      <c r="A5" s="4" t="s">
        <v>309</v>
      </c>
      <c r="B5" s="5" t="s">
        <v>403</v>
      </c>
      <c r="C5" s="6" t="s">
        <v>334</v>
      </c>
      <c r="D5" s="6" t="s">
        <v>334</v>
      </c>
      <c r="E5" s="6" t="s">
        <v>404</v>
      </c>
      <c r="F5" s="5" t="s">
        <v>405</v>
      </c>
    </row>
    <row r="6" ht="16.5" spans="1:6">
      <c r="A6" s="4" t="s">
        <v>309</v>
      </c>
      <c r="B6" s="5" t="s">
        <v>406</v>
      </c>
      <c r="C6" s="6" t="s">
        <v>334</v>
      </c>
      <c r="D6" s="6" t="s">
        <v>338</v>
      </c>
      <c r="E6" s="6" t="s">
        <v>407</v>
      </c>
      <c r="F6" s="5" t="s">
        <v>408</v>
      </c>
    </row>
    <row r="7" ht="16.5" spans="1:6">
      <c r="A7" s="4" t="s">
        <v>309</v>
      </c>
      <c r="B7" s="5" t="s">
        <v>409</v>
      </c>
      <c r="C7" s="6" t="s">
        <v>334</v>
      </c>
      <c r="D7" s="6" t="s">
        <v>334</v>
      </c>
      <c r="E7" s="6" t="s">
        <v>410</v>
      </c>
      <c r="F7" s="5" t="s">
        <v>411</v>
      </c>
    </row>
    <row r="8" ht="16.5" spans="1:6">
      <c r="A8" s="7" t="s">
        <v>310</v>
      </c>
      <c r="B8" s="5" t="s">
        <v>412</v>
      </c>
      <c r="C8" s="6" t="s">
        <v>338</v>
      </c>
      <c r="D8" s="6" t="s">
        <v>334</v>
      </c>
      <c r="E8" s="6" t="s">
        <v>413</v>
      </c>
      <c r="F8" s="5" t="s">
        <v>414</v>
      </c>
    </row>
    <row r="9" ht="16.5" spans="1:6">
      <c r="A9" s="7" t="s">
        <v>310</v>
      </c>
      <c r="B9" s="5" t="s">
        <v>415</v>
      </c>
      <c r="C9" s="6" t="s">
        <v>338</v>
      </c>
      <c r="D9" s="6" t="s">
        <v>334</v>
      </c>
      <c r="E9" s="6" t="s">
        <v>416</v>
      </c>
      <c r="F9" s="5" t="s">
        <v>417</v>
      </c>
    </row>
    <row r="10" ht="16.5" spans="1:6">
      <c r="A10" s="7" t="s">
        <v>310</v>
      </c>
      <c r="B10" s="5" t="s">
        <v>418</v>
      </c>
      <c r="C10" s="6" t="s">
        <v>334</v>
      </c>
      <c r="D10" s="6" t="s">
        <v>338</v>
      </c>
      <c r="E10" s="6" t="s">
        <v>419</v>
      </c>
      <c r="F10" s="5" t="s">
        <v>420</v>
      </c>
    </row>
    <row r="11" ht="16.5" spans="1:6">
      <c r="A11" s="7" t="s">
        <v>310</v>
      </c>
      <c r="B11" s="5" t="s">
        <v>421</v>
      </c>
      <c r="C11" s="6" t="s">
        <v>338</v>
      </c>
      <c r="D11" s="6" t="s">
        <v>338</v>
      </c>
      <c r="E11" s="6" t="s">
        <v>422</v>
      </c>
      <c r="F11" s="5" t="s">
        <v>423</v>
      </c>
    </row>
    <row r="12" ht="16.5" spans="1:6">
      <c r="A12" s="8" t="s">
        <v>311</v>
      </c>
      <c r="B12" s="5" t="s">
        <v>424</v>
      </c>
      <c r="C12" s="6" t="s">
        <v>342</v>
      </c>
      <c r="D12" s="6" t="s">
        <v>338</v>
      </c>
      <c r="E12" s="6" t="s">
        <v>425</v>
      </c>
      <c r="F12" s="5" t="s">
        <v>426</v>
      </c>
    </row>
    <row r="13" ht="16.5" spans="1:6">
      <c r="A13" s="8" t="s">
        <v>311</v>
      </c>
      <c r="B13" s="5" t="s">
        <v>427</v>
      </c>
      <c r="C13" s="6" t="s">
        <v>342</v>
      </c>
      <c r="D13" s="6" t="s">
        <v>338</v>
      </c>
      <c r="E13" s="6" t="s">
        <v>428</v>
      </c>
      <c r="F13" s="5" t="s">
        <v>429</v>
      </c>
    </row>
    <row r="14" ht="16.5" spans="1:6">
      <c r="A14" s="8" t="s">
        <v>311</v>
      </c>
      <c r="B14" s="5" t="s">
        <v>430</v>
      </c>
      <c r="C14" s="6" t="s">
        <v>342</v>
      </c>
      <c r="D14" s="6" t="s">
        <v>342</v>
      </c>
      <c r="E14" s="6" t="s">
        <v>431</v>
      </c>
      <c r="F14" s="5" t="s">
        <v>432</v>
      </c>
    </row>
    <row r="15" ht="16.5" spans="1:6">
      <c r="A15" s="8" t="s">
        <v>311</v>
      </c>
      <c r="B15" s="5" t="s">
        <v>433</v>
      </c>
      <c r="C15" s="6" t="s">
        <v>342</v>
      </c>
      <c r="D15" s="6" t="s">
        <v>338</v>
      </c>
      <c r="E15" s="6" t="s">
        <v>434</v>
      </c>
      <c r="F15" s="5" t="s">
        <v>435</v>
      </c>
    </row>
    <row r="16" ht="16.5" spans="1:6">
      <c r="A16" s="9" t="s">
        <v>312</v>
      </c>
      <c r="B16" s="5" t="s">
        <v>436</v>
      </c>
      <c r="C16" s="6" t="s">
        <v>342</v>
      </c>
      <c r="D16" s="6" t="s">
        <v>342</v>
      </c>
      <c r="E16" s="6" t="s">
        <v>437</v>
      </c>
      <c r="F16" s="5" t="s">
        <v>438</v>
      </c>
    </row>
    <row r="17" ht="16.5" spans="1:6">
      <c r="A17" s="9" t="s">
        <v>312</v>
      </c>
      <c r="B17" s="5" t="s">
        <v>439</v>
      </c>
      <c r="C17" s="6" t="s">
        <v>342</v>
      </c>
      <c r="D17" s="6" t="s">
        <v>342</v>
      </c>
      <c r="E17" s="6" t="s">
        <v>440</v>
      </c>
      <c r="F17" s="5" t="s">
        <v>441</v>
      </c>
    </row>
    <row r="18" ht="16.5" spans="1:6">
      <c r="A18" s="9" t="s">
        <v>312</v>
      </c>
      <c r="B18" s="5" t="s">
        <v>442</v>
      </c>
      <c r="C18" s="6" t="s">
        <v>342</v>
      </c>
      <c r="D18" s="6" t="s">
        <v>342</v>
      </c>
      <c r="E18" s="6" t="s">
        <v>443</v>
      </c>
      <c r="F18" s="5" t="s">
        <v>444</v>
      </c>
    </row>
    <row r="19" ht="16.5" spans="1:6">
      <c r="A19" s="9" t="s">
        <v>312</v>
      </c>
      <c r="B19" s="5" t="s">
        <v>445</v>
      </c>
      <c r="C19" s="6" t="s">
        <v>342</v>
      </c>
      <c r="D19" s="6" t="s">
        <v>342</v>
      </c>
      <c r="E19" s="6" t="s">
        <v>446</v>
      </c>
      <c r="F19" s="5" t="s">
        <v>447</v>
      </c>
    </row>
  </sheetData>
  <sheetProtection formatCells="0" insertHyperlinks="0" autoFilter="0"/>
  <mergeCells count="1">
    <mergeCell ref="A1:F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6"/>
  <pixelatorList sheetStid="7"/>
  <pixelatorList sheetStid="8"/>
  <pixelatorList sheetStid="9"/>
  <pixelatorList sheetStid="1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WWO_dingtalk_20240221035043-c523bba0e7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IT</vt:lpstr>
      <vt:lpstr>CAT</vt:lpstr>
      <vt:lpstr>风险&amp;问题日志</vt:lpstr>
      <vt:lpstr>优先级矩阵</vt:lpstr>
      <vt:lpstr>影响度与紧急度定义</vt:lpstr>
      <vt:lpstr>优先级定义与SLA</vt:lpstr>
      <vt:lpstr>典型案例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许熙平</dc:creator>
  <cp:lastModifiedBy>cao nick</cp:lastModifiedBy>
  <dcterms:created xsi:type="dcterms:W3CDTF">2018-11-04T05:36:00Z</dcterms:created>
  <dcterms:modified xsi:type="dcterms:W3CDTF">2026-09-05T13:00:00Z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215B900FE83E43FE98ABE84A23DACE77_12</vt:lpwstr>
  </property>
  <property fmtid="{D5CDD505-2E9C-101B-9397-08002B2CF9AE}" pid="3" name="KSOProductBuildVer">
    <vt:lpwstr>2052-0.0.0.0</vt:lpwstr>
  </property>
  <property fmtid="{D5CDD505-2E9C-101B-9397-08002B2CF9AE}" pid="4" name="CalculationRule">
    <vt:i4>0</vt:i4>
  </property>
</Properties>
</file>