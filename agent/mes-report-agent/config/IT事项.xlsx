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e194dcf6d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" sheetId="2" r:id="R72c19afac0564c2f"/>
    <x:sheet xmlns:r="http://schemas.openxmlformats.org/officeDocument/2006/relationships" name="CAT" sheetId="3" r:id="R9a544674583542a3"/>
    <x:sheet xmlns:r="http://schemas.openxmlformats.org/officeDocument/2006/relationships" name="风险&amp;问题日志" sheetId="4" r:id="R178e943f3f8f4c9a"/>
    <x:sheet xmlns:r="http://schemas.openxmlformats.org/officeDocument/2006/relationships" name="优先级矩阵" sheetId="6" r:id="Rb05c7eb8b67e4aaa"/>
    <x:sheet xmlns:r="http://schemas.openxmlformats.org/officeDocument/2006/relationships" name="影响度与紧急度定义" sheetId="7" r:id="R573bfcd96c5d4e43"/>
    <x:sheet xmlns:r="http://schemas.openxmlformats.org/officeDocument/2006/relationships" name="优先级定义与SLA" sheetId="8" r:id="Re514a597929641f5"/>
    <x:sheet xmlns:r="http://schemas.openxmlformats.org/officeDocument/2006/relationships" name="典型案例" sheetId="9" r:id="Rd0f401c8024b43f1"/>
  </x:sheets>
  <x:definedNames>
    <x:definedName name="_HMM１">#REF!</x:definedName>
    <x:definedName name="_HMM２">#REF!</x:definedName>
    <x:definedName name="_JMM１">#REF!</x:definedName>
    <x:definedName name="_JMM２">#REF!</x:definedName>
    <x:definedName name="_VER1">#REF!</x:definedName>
    <x:definedName name="aa">aa</x:definedName>
    <x:definedName name="AAA">AAA</x:definedName>
    <x:definedName name="Access_Button" hidden="1">"BugTBLU0_LMS11_List"</x:definedName>
    <x:definedName name="AccessDatabase" hidden="1">"B:\Users\Docomo\バグ管理\BugTBLU0.mdb"</x:definedName>
    <x:definedName name="ACCESS仕切">#REF!</x:definedName>
    <x:definedName name="ActEffort">#REF!</x:definedName>
    <x:definedName name="Air">#REF!</x:definedName>
    <x:definedName name="Air_YEN">#REF!</x:definedName>
    <x:definedName name="AirTicket">#REF!</x:definedName>
    <x:definedName name="APP_合計">#REF!</x:definedName>
    <x:definedName name="APP_大分類">#REF!</x:definedName>
    <x:definedName name="APP_大分類合計">#REF!</x:definedName>
    <x:definedName name="APP_小分類">#REF!</x:definedName>
    <x:definedName name="APP_小分類合計">#REF!</x:definedName>
    <x:definedName name="APP_項目">#REF!</x:definedName>
    <x:definedName name="APP_項目合計">#REF!</x:definedName>
    <x:definedName name="APP_項目最終行">#REF!</x:definedName>
    <x:definedName name="APP合計額">#REF!</x:definedName>
    <x:definedName name="ｂｂ">ｂｂ</x:definedName>
    <x:definedName name="BBB">BBB</x:definedName>
    <x:definedName name="BCR値段">#REF!</x:definedName>
    <x:definedName name="bias">#REF!</x:definedName>
    <x:definedName name="BugTBLU0_LMS11_List">#REF!</x:definedName>
    <x:definedName name="Car">#REF!</x:definedName>
    <x:definedName name="CBU_EAI">'[1]Server Configuration'!$B$16</x:definedName>
    <x:definedName name="cc">cc</x:definedName>
    <x:definedName name="copy">_xleta.copy</x:definedName>
    <x:definedName name="DB設計_MM">#REF!</x:definedName>
    <x:definedName name="dd">dd</x:definedName>
    <x:definedName name="DDDT">DDDT</x:definedName>
    <x:definedName name="DDDT1">DDDT1</x:definedName>
    <x:definedName name="Desktop値段">#REF!</x:definedName>
    <x:definedName name="DocMM">[2]機能積上げ!$O$46</x:definedName>
    <x:definedName name="DollRate">#REF!</x:definedName>
    <x:definedName name="DotMatrix値段">#REF!</x:definedName>
    <x:definedName name="DQB">#REF!</x:definedName>
    <x:definedName name="DSB">#REF!</x:definedName>
    <x:definedName name="ee">ee</x:definedName>
    <x:definedName name="haha">#REF!</x:definedName>
    <x:definedName name="HardCost">'[2]Hardware Detail'!$F$28</x:definedName>
    <x:definedName name="HardExpenseTTL">#REF!</x:definedName>
    <x:definedName name="HardNetTTL">#REF!</x:definedName>
    <x:definedName name="hh">#REF!</x:definedName>
    <x:definedName name="HOLIDAYS">'[3]Sche Estimation'!$AA$12:$AA$50</x:definedName>
    <x:definedName name="Hotel">#REF!</x:definedName>
    <x:definedName name="IF設計_MM">#REF!</x:definedName>
    <x:definedName name="IO">#REF!</x:definedName>
    <x:definedName name="IPC値段">#REF!</x:definedName>
    <x:definedName name="IP割">#REF!</x:definedName>
    <x:definedName name="KQB">#REF!</x:definedName>
    <x:definedName name="KS">#REF!</x:definedName>
    <x:definedName name="KSB">#REF!</x:definedName>
    <x:definedName name="li">#REF!</x:definedName>
    <x:definedName name="LinePrinter値段">#REF!</x:definedName>
    <x:definedName name="lll">#REF!</x:definedName>
    <x:definedName name="LQB">#REF!</x:definedName>
    <x:definedName name="LQP">#REF!</x:definedName>
    <x:definedName name="LQty">#REF!</x:definedName>
    <x:definedName name="LSB">#REF!</x:definedName>
    <x:definedName name="LSP">#REF!</x:definedName>
    <x:definedName name="LSPARE">#REF!</x:definedName>
    <x:definedName name="lu">#REF!</x:definedName>
    <x:definedName name="lx">[4]Sheet3!$H$8:$H$9</x:definedName>
    <x:definedName name="ManManth">[2]機能積上げ!#REF!</x:definedName>
    <x:definedName name="MemberEffort">#REF!</x:definedName>
    <x:definedName name="MES_U">#REF!</x:definedName>
    <x:definedName name="MES割掛">#REF!</x:definedName>
    <x:definedName name="MM">#REF!</x:definedName>
    <x:definedName name="MM_YEN">#REF!</x:definedName>
    <x:definedName name="MMM">#REF!</x:definedName>
    <x:definedName name="Module1.TOKUCHG">[5]!Module1.TOKUCHG</x:definedName>
    <x:definedName name="Module1.TOKUCHG2">[6]!Module1.TOKUCHG2</x:definedName>
    <x:definedName name="MYR_HKD_Rate">#REF!</x:definedName>
    <x:definedName name="Ｎｅｔ">#REF!</x:definedName>
    <x:definedName name="NQB">#REF!</x:definedName>
    <x:definedName name="NSB">#REF!</x:definedName>
    <x:definedName name="NXAUTO_MM">#REF!</x:definedName>
    <x:definedName name="NXAUTOサーバ値段">#REF!</x:definedName>
    <x:definedName name="NXAUTOライセンス">#REF!</x:definedName>
    <x:definedName name="Office">#REF!</x:definedName>
    <x:definedName name="Omk時間割">#REF!</x:definedName>
    <x:definedName name="Oracle">#REF!</x:definedName>
    <x:definedName name="Oracle合計">#REF!</x:definedName>
    <x:definedName name="OS">#REF!</x:definedName>
    <x:definedName name="P.P.FA">#REF!</x:definedName>
    <x:definedName name="P.P.NX">#REF!</x:definedName>
    <x:definedName name="PC">#REF!</x:definedName>
    <x:definedName name="PC仕切">#REF!</x:definedName>
    <x:definedName name="phase">#REF!</x:definedName>
    <x:definedName name="PhaseEffort">#REF!</x:definedName>
    <x:definedName name="PhaseII合計">#REF!</x:definedName>
    <x:definedName name="PhaseI合計">#REF!</x:definedName>
    <x:definedName name="PhaseI合計外部">#REF!</x:definedName>
    <x:definedName name="PlanEffort">#REF!</x:definedName>
    <x:definedName name="plus">#REF!</x:definedName>
    <x:definedName name="PP合計額">#REF!</x:definedName>
    <x:definedName name="PQB">#REF!</x:definedName>
    <x:definedName name="PQP">#REF!</x:definedName>
    <x:definedName name="PQty">#REF!</x:definedName>
    <x:definedName name="PrinterServer値段">#REF!</x:definedName>
    <x:definedName name="PRT">#REF!</x:definedName>
    <x:definedName name="PRT仕切">#REF!</x:definedName>
    <x:definedName name="PSB">#REF!</x:definedName>
    <x:definedName name="PSP">#REF!</x:definedName>
    <x:definedName name="PSpare">#REF!</x:definedName>
    <x:definedName name="QA_MM_YEN">#REF!</x:definedName>
    <x:definedName name="QAM">[2]機能積上げ!$O$45</x:definedName>
    <x:definedName name="QAMM">#REF!</x:definedName>
    <x:definedName name="Rate">#REF!</x:definedName>
    <x:definedName name="rdbms2">#REF!</x:definedName>
    <x:definedName name="Router値段">#REF!</x:definedName>
    <x:definedName name="Sheet10">#REF!</x:definedName>
    <x:definedName name="Sheet11">#REF!</x:definedName>
    <x:definedName name="Sheet12">#REF!</x:definedName>
    <x:definedName name="Sheet2">#REF!</x:definedName>
    <x:definedName name="Sheet3">#REF!</x:definedName>
    <x:definedName name="Sheet4">#REF!</x:definedName>
    <x:definedName name="Sheet5">#REF!</x:definedName>
    <x:definedName name="Sheet6">#REF!</x:definedName>
    <x:definedName name="Sheet7">#REF!</x:definedName>
    <x:definedName name="Sheet8">#REF!</x:definedName>
    <x:definedName name="Sheet9">#REF!</x:definedName>
    <x:definedName name="Srv">#REF!</x:definedName>
    <x:definedName name="ss">#REF!</x:definedName>
    <x:definedName name="Switch値段">#REF!</x:definedName>
    <x:definedName name="SWQB">#REF!</x:definedName>
    <x:definedName name="SWSB">#REF!</x:definedName>
    <x:definedName name="sx">[7]Sheet3!$F$8:$F$9</x:definedName>
    <x:definedName name="TK_DDDT">TK_DDDT</x:definedName>
    <x:definedName name="TOKUCHG">TOKUCHG</x:definedName>
    <x:definedName name="TOKUCHG2">[5]!TOKUCHG2</x:definedName>
    <x:definedName name="ttt">ttt</x:definedName>
    <x:definedName name="U">#REF!</x:definedName>
    <x:definedName name="U_MES">#REF!</x:definedName>
    <x:definedName name="unit">#REF!</x:definedName>
    <x:definedName name="UPS">#REF!</x:definedName>
    <x:definedName name="UPS値段">#REF!</x:definedName>
    <x:definedName name="USD_HKD_Rate">#REF!</x:definedName>
    <x:definedName name="USD_MYR_Rate">#REF!</x:definedName>
    <x:definedName name="VER">"ver 2.04"</x:definedName>
    <x:definedName name="VS">#REF!</x:definedName>
    <x:definedName name="Win2000P">#REF!</x:definedName>
    <x:definedName name="Win2000S">#REF!</x:definedName>
    <x:definedName name="www">www</x:definedName>
    <x:definedName name="ZDAY1">ZDAY1</x:definedName>
    <x:definedName name="ZDAY2">ZDAY2</x:definedName>
    <x:definedName name="ZDAY3">ZDAY3</x:definedName>
    <x:definedName name="zt">[8]Sheet3!$D$8:$D$9</x:definedName>
    <x:definedName name="お_SI一般割">#REF!</x:definedName>
    <x:definedName name="お_一般割">#REF!</x:definedName>
    <x:definedName name="お_利益">#REF!</x:definedName>
    <x:definedName name="お_割掛計">#REF!</x:definedName>
    <x:definedName name="お_外注割">#REF!</x:definedName>
    <x:definedName name="オ事_ハード">#REF!</x:definedName>
    <x:definedName name="サブコン_MD">#REF!</x:definedName>
    <x:definedName name="サブコン_MM">#REF!</x:definedName>
    <x:definedName name="サブコン_日当">#REF!</x:definedName>
    <x:definedName name="システム取纏め費">#REF!</x:definedName>
    <x:definedName name="その他">#REF!</x:definedName>
    <x:definedName name="その他ハード">#REF!</x:definedName>
    <x:definedName name="ソフト">#REF!</x:definedName>
    <x:definedName name="ソフトMM">[2]機能積上げ!$O$44</x:definedName>
    <x:definedName name="ソフトウェア合計">#REF!</x:definedName>
    <x:definedName name="ソフトウェア合計外部">#REF!</x:definedName>
    <x:definedName name="ソフト割掛">#REF!</x:definedName>
    <x:definedName name="データサーバ値段">#REF!</x:definedName>
    <x:definedName name="テスト環境j構築">[2]テスト環境構築!$H$5</x:definedName>
    <x:definedName name="ハード">#REF!</x:definedName>
    <x:definedName name="ハードウェア合計">#REF!</x:definedName>
    <x:definedName name="ハードウェア合計外部">#REF!</x:definedName>
    <x:definedName name="ハード割掛">#REF!</x:definedName>
    <x:definedName name="プロマネMM">[2]機能積上げ!$O$47</x:definedName>
    <x:definedName name="プロマネ合計">#REF!</x:definedName>
    <x:definedName name="プロマネ合計外部">#REF!</x:definedName>
    <x:definedName name="ラベルプリンタ値段">#REF!</x:definedName>
    <x:definedName name="レーザプリンタ値段">#REF!</x:definedName>
    <x:definedName name="一般割">#REF!</x:definedName>
    <x:definedName name="作業費_YEN">#REF!</x:definedName>
    <x:definedName name="円To外貨">#REF!</x:definedName>
    <x:definedName name="処理設計_MM">#REF!</x:definedName>
    <x:definedName name="制開ﾏｰｸｱｯﾌﾟ">#REF!</x:definedName>
    <x:definedName name="単体品質プログラム別_Click">単体品質プログラム別_Click</x:definedName>
    <x:definedName name="原因合计">#REF!</x:definedName>
    <x:definedName name="变更类型">#REF!</x:definedName>
    <x:definedName name="合计值">#REF!</x:definedName>
    <x:definedName name="周一">#REF!</x:definedName>
    <x:definedName name="周三">#REF!</x:definedName>
    <x:definedName name="周九">#REF!</x:definedName>
    <x:definedName name="周二">#REF!</x:definedName>
    <x:definedName name="周五">#REF!</x:definedName>
    <x:definedName name="周八">#REF!</x:definedName>
    <x:definedName name="周六">#REF!</x:definedName>
    <x:definedName name="周四">#REF!</x:definedName>
    <x:definedName name="周日">#REF!</x:definedName>
    <x:definedName name="国内ソフト割">#REF!</x:definedName>
    <x:definedName name="国内ハード割">#REF!</x:definedName>
    <x:definedName name="场所合计">#REF!</x:definedName>
    <x:definedName name="報告日">#REF!</x:definedName>
    <x:definedName name="報告者">#REF!</x:definedName>
    <x:definedName name="处理状态">#REF!</x:definedName>
    <x:definedName name="外注割">#REF!</x:definedName>
    <x:definedName name="外貨To円">#REF!</x:definedName>
    <x:definedName name="大">#REF!</x:definedName>
    <x:definedName name="大区分">#REF!</x:definedName>
    <x:definedName name="大同現調MM">[2]大同信号現調!$L$16</x:definedName>
    <x:definedName name="子项">#REF!</x:definedName>
    <x:definedName name="完成时间">#REF!</x:definedName>
    <x:definedName name="宿泊費">#REF!</x:definedName>
    <x:definedName name="宿泊費_YEN">#REF!</x:definedName>
    <x:definedName name="工場１">#REF!</x:definedName>
    <x:definedName name="工場２">#REF!</x:definedName>
    <x:definedName name="工場３">#REF!</x:definedName>
    <x:definedName name="工数_MD">#REF!</x:definedName>
    <x:definedName name="工数_MM">#REF!</x:definedName>
    <x:definedName name="开始日期">#REF!</x:definedName>
    <x:definedName name="开始时间">#REF!</x:definedName>
    <x:definedName name="形式">#REF!</x:definedName>
    <x:definedName name="担当Ｇ">#REF!</x:definedName>
    <x:definedName name="担当者">#REF!</x:definedName>
    <x:definedName name="数値area">#REF!</x:definedName>
    <x:definedName name="日当">#REF!</x:definedName>
    <x:definedName name="日当_YEN">#REF!</x:definedName>
    <x:definedName name="日立PP">#REF!</x:definedName>
    <x:definedName name="是否有已批准的项目计划？">[9]阶段活动检查表!#REF!</x:definedName>
    <x:definedName name="更新日">#REF!</x:definedName>
    <x:definedName name="月当り時間">#REF!</x:definedName>
    <x:definedName name="本社">#REF!</x:definedName>
    <x:definedName name="来源">#REF!</x:definedName>
    <x:definedName name="标记">#REF!</x:definedName>
    <x:definedName name="機器構成_MM">#REF!</x:definedName>
    <x:definedName name="機能設計_MM">#REF!</x:definedName>
    <x:definedName name="没没没">没没没</x:definedName>
    <x:definedName name="派遣割掛">#REF!</x:definedName>
    <x:definedName name="海外hard割">#REF!</x:definedName>
    <x:definedName name="海外ソフト割">#REF!</x:definedName>
    <x:definedName name="状态">[10]阶段活动检查表!#REF!</x:definedName>
    <x:definedName name="現調合計">#REF!</x:definedName>
    <x:definedName name="画面プロト_MM">#REF!</x:definedName>
    <x:definedName name="総合テスト_MM">#REF!</x:definedName>
    <x:definedName name="総計">#REF!</x:definedName>
    <x:definedName name="繰越保守年数">#REF!</x:definedName>
    <x:definedName name="结束日期">#REF!</x:definedName>
    <x:definedName name="製造品質プログラム別_Click">製造品質プログラム別_Click</x:definedName>
    <x:definedName name="詳細_close">詳細_close</x:definedName>
    <x:definedName name="詳細品質プログラム別_Click">詳細品質プログラム別_Click</x:definedName>
    <x:definedName name="諸経費">#REF!</x:definedName>
    <x:definedName name="購入PP">#REF!</x:definedName>
    <x:definedName name="購入割">#REF!</x:definedName>
    <x:definedName name="購入品経費計">#REF!</x:definedName>
    <x:definedName name="遵循判定">[11]数据源!$B$2:$B$5</x:definedName>
    <x:definedName name="项目子项清单">#REF!</x:definedName>
    <x:definedName name="项目阶段2">[11]数据源!$B$9:$B$18</x:definedName>
    <x:definedName name="copy" localSheetId="2">_xleta.copy</x:definedName>
    <x:definedName name="Module1.TOKUCHG" localSheetId="2">[5]!Module1.TOKUCHG</x:definedName>
    <x:definedName name="Module1.TOKUCHG2" localSheetId="2">[6]!Module1.TOKUCHG2</x:definedName>
    <x:definedName name="TOKUCHG2" localSheetId="2">[5]!TOKUCHG2</x:definedName>
  </x:definedName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<x:sst xmlns:x="http://schemas.openxmlformats.org/spreadsheetml/2006/main">
  <x:si>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序号</x:t>
  </x:si>
  <x:si>
    <x:t xml:space="preserve">分类</x:t>
  </x:si>
  <x:si>
    <x:t xml:space="preserve">应用分类</x:t>
  </x:si>
  <x:si>
    <x:t xml:space="preserve">涉及外部客户</x:t>
  </x:si>
  <x:si>
    <x:t xml:space="preserve">影响度</x:t>
  </x:si>
  <x:si>
    <x:t xml:space="preserve">紧急性</x:t>
  </x:si>
  <x:si>
    <x:t xml:space="preserve">优先级</x:t>
  </x:si>
  <x:si>
    <x:t xml:space="preserve">问题/需求描述</x:t>
  </x:si>
  <x:si>
    <x:t xml:space="preserve">根本原因分析/需求分析</x:t>
  </x:si>
  <x:si>
    <x:t xml:space="preserve">提出公司/职能中心</x:t>
  </x:si>
  <x:si>
    <x:t xml:space="preserve">提出部门</x:t>
  </x:si>
  <x:si>
    <x:t xml:space="preserve">提出人</x:t>
  </x:si>
  <x:si>
    <x:t xml:space="preserve">提出时间
(YYYY/MM/DD)</x:t>
  </x:si>
  <x:si>
    <x:t xml:space="preserve">处理人</x:t>
  </x:si>
  <x:si>
    <x:t xml:space="preserve">处理状态
(未解决/已解决)</x:t>
  </x:si>
  <x:si>
    <x:t xml:space="preserve">响应时间
(YYYY/MM/DD)</x:t>
  </x:si>
  <x:si>
    <x:t xml:space="preserve">计划完成时间
(YYYY/MM/DD)</x:t>
  </x:si>
  <x:si>
    <x:t xml:space="preserve">实际完成时间
(YYYY/MM/DD)</x:t>
  </x:si>
  <x:si>
    <x:t xml:space="preserve">处理方式/最终结果</x:t>
  </x:si>
  <x:si>
    <x:t xml:space="preserve">备注</x:t>
  </x:si>
  <x:si>
    <x:t xml:space="preserve">响应持续时间
(Days)</x:t>
  </x:si>
  <x:si>
    <x:t xml:space="preserve">计划完成-实际完成
(Days)</x:t>
  </x:si>
  <x:si>
    <x:t xml:space="preserve">实际完成持续时间
(Days)</x:t>
  </x:si>
  <x:si>
    <x:t xml:space="preserve">No1</x:t>
  </x:si>
  <x:si>
    <x:t xml:space="preserve">Category</x:t>
  </x:si>
  <x:si>
    <x:t xml:space="preserve">Category_Excel</x:t>
  </x:si>
  <x:si>
    <x:t xml:space="preserve">Comment1</x:t>
  </x:si>
  <x:si>
    <x:t xml:space="preserve">No2</x:t>
  </x:si>
  <x:si>
    <x:t xml:space="preserve">App</x:t>
  </x:si>
  <x:si>
    <x:t xml:space="preserve">App_Excel</x:t>
  </x:si>
  <x:si>
    <x:t xml:space="preserve">Comment2</x:t>
  </x:si>
  <x:si>
    <x:t xml:space="preserve">No3</x:t>
  </x:si>
  <x:si>
    <x:t xml:space="preserve">Company</x:t>
  </x:si>
  <x:si>
    <x:t xml:space="preserve">Company_Excel</x:t>
  </x:si>
  <x:si>
    <x:t xml:space="preserve">Comment3</x:t>
  </x:si>
  <x:si>
    <x:t xml:space="preserve">No4</x:t>
  </x:si>
  <x:si>
    <x:t xml:space="preserve">Customer</x:t>
  </x:si>
  <x:si>
    <x:t xml:space="preserve">Customer_Excel</x:t>
  </x:si>
  <x:si>
    <x:t xml:space="preserve">Comment4</x:t>
  </x:si>
  <x:si>
    <x:t xml:space="preserve">No5</x:t>
  </x:si>
  <x:si>
    <x:t xml:space="preserve">Status</x:t>
  </x:si>
  <x:si>
    <x:t xml:space="preserve">Status_Excel</x:t>
  </x:si>
  <x:si>
    <x:t xml:space="preserve">Comment5</x:t>
  </x:si>
  <x:si>
    <x:t xml:space="preserve">No6</x:t>
  </x:si>
  <x:si>
    <x:t xml:space="preserve">Impact_Excel</x:t>
  </x:si>
  <x:si>
    <x:t xml:space="preserve">Comment6</x:t>
  </x:si>
  <x:si>
    <x:t xml:space="preserve">No7</x:t>
  </x:si>
  <x:si>
    <x:t xml:space="preserve">Urgency_Excel</x:t>
  </x:si>
  <x:si>
    <x:t xml:space="preserve">Comment7</x:t>
  </x:si>
  <x:si>
    <x:t xml:space="preserve">01</x:t>
  </x:si>
  <x:si>
    <x:t xml:space="preserve">Task</x:t>
  </x:si>
  <x:si>
    <x:t xml:space="preserve">任务（安装软件、布线、调试终端设备等等）</x:t>
  </x:si>
  <x:si>
    <x:t xml:space="preserve">MES</x:t>
  </x:si>
  <x:si>
    <x:t xml:space="preserve">集团</x:t>
  </x:si>
  <x:si>
    <x:t xml:space="preserve">职能中心</x:t>
  </x:si>
  <x:si>
    <x:t xml:space="preserve">D01</x:t>
  </x:si>
  <x:si>
    <x:t xml:space="preserve">Lixiang</x:t>
  </x:si>
  <x:si>
    <x:t xml:space="preserve">理想</x:t>
  </x:si>
  <x:si>
    <x:t xml:space="preserve">11</x:t>
  </x:si>
  <x:si>
    <x:t xml:space="preserve">提出-业务澄清</x:t>
  </x:si>
  <x:si>
    <x:t xml:space="preserve">02</x:t>
  </x:si>
  <x:si>
    <x:t xml:space="preserve">Incident</x:t>
  </x:si>
  <x:si>
    <x:t xml:space="preserve">故障（系统问题、应用卡顿等等）</x:t>
  </x:si>
  <x:si>
    <x:t xml:space="preserve">U9C</x:t>
  </x:si>
  <x:si>
    <x:t xml:space="preserve">诸暨1厂</x:t>
  </x:si>
  <x:si>
    <x:t xml:space="preserve">D02</x:t>
  </x:si>
  <x:si>
    <x:t xml:space="preserve">Weilai</x:t>
  </x:si>
  <x:si>
    <x:t xml:space="preserve">蔚来</x:t>
  </x:si>
  <x:si>
    <x:t xml:space="preserve">12</x:t>
  </x:si>
  <x:si>
    <x:t xml:space="preserve">提出-客户澄清</x:t>
  </x:si>
  <x:si>
    <x:t xml:space="preserve">03</x:t>
  </x:si>
  <x:si>
    <x:t xml:space="preserve">Problem</x:t>
  </x:si>
  <x:si>
    <x:t xml:space="preserve">问题（疑难杂症，短期无法处理）</x:t>
  </x:si>
  <x:si>
    <x:t xml:space="preserve">WMS</x:t>
  </x:si>
  <x:si>
    <x:t xml:space="preserve">诸暨2厂</x:t>
  </x:si>
  <x:si>
    <x:t xml:space="preserve">D03</x:t>
  </x:si>
  <x:si>
    <x:t xml:space="preserve">Xiaopeng</x:t>
  </x:si>
  <x:si>
    <x:t xml:space="preserve">小鹏</x:t>
  </x:si>
  <x:si>
    <x:t xml:space="preserve">13</x:t>
  </x:si>
  <x:si>
    <x:t xml:space="preserve">提出-其他澄清</x:t>
  </x:si>
  <x:si>
    <x:t xml:space="preserve">04</x:t>
  </x:si>
  <x:si>
    <x:t xml:space="preserve">Request</x:t>
  </x:si>
  <x:si>
    <x:t xml:space="preserve">需求（新增软件功能、新增流程等等）</x:t>
  </x:si>
  <x:si>
    <x:t xml:space="preserve">PLM</x:t>
  </x:si>
  <x:si>
    <x:t xml:space="preserve">诸暨3厂</x:t>
  </x:si>
  <x:si>
    <x:t xml:space="preserve">D04</x:t>
  </x:si>
  <x:si>
    <x:t xml:space="preserve">Geely</x:t>
  </x:si>
  <x:si>
    <x:t xml:space="preserve">吉利</x:t>
  </x:si>
  <x:si>
    <x:t xml:space="preserve">14</x:t>
  </x:si>
  <x:si>
    <x:t xml:space="preserve">提出-技术澄清</x:t>
  </x:si>
  <x:si>
    <x:t xml:space="preserve">05</x:t>
  </x:si>
  <x:si>
    <x:t xml:space="preserve">Project</x:t>
  </x:si>
  <x:si>
    <x:t xml:space="preserve">项目（需要组建团队解决、或者长期资源解决）</x:t>
  </x:si>
  <x:si>
    <x:t xml:space="preserve">Security</x:t>
  </x:si>
  <x:si>
    <x:t xml:space="preserve">诸暨金晟</x:t>
  </x:si>
  <x:si>
    <x:t xml:space="preserve">D05</x:t>
  </x:si>
  <x:si>
    <x:t xml:space="preserve">GreatWall</x:t>
  </x:si>
  <x:si>
    <x:t xml:space="preserve">长城</x:t>
  </x:si>
  <x:si>
    <x:t xml:space="preserve">接受</x:t>
  </x:si>
  <x:si>
    <x:t xml:space="preserve">06</x:t>
  </x:si>
  <x:si>
    <x:t xml:space="preserve">Workplace</x:t>
  </x:si>
  <x:si>
    <x:t xml:space="preserve">无锡弹簧</x:t>
  </x:si>
  <x:si>
    <x:t xml:space="preserve">D06</x:t>
  </x:si>
  <x:si>
    <x:t xml:space="preserve">FAW</x:t>
  </x:si>
  <x:si>
    <x:t xml:space="preserve">一汽</x:t>
  </x:si>
  <x:si>
    <x:t xml:space="preserve">评估</x:t>
  </x:si>
  <x:si>
    <x:t xml:space="preserve">07</x:t>
  </x:si>
  <x:si>
    <x:t xml:space="preserve">研发云</x:t>
  </x:si>
  <x:si>
    <x:t xml:space="preserve">重庆工厂</x:t>
  </x:si>
  <x:si>
    <x:t xml:space="preserve">I01</x:t>
  </x:si>
  <x:si>
    <x:t xml:space="preserve">Ford</x:t>
  </x:si>
  <x:si>
    <x:t xml:space="preserve">福特</x:t>
  </x:si>
  <x:si>
    <x:t xml:space="preserve">处理</x:t>
  </x:si>
  <x:si>
    <x:t xml:space="preserve">08</x:t>
  </x:si>
  <x:si>
    <x:t xml:space="preserve">PDA</x:t>
  </x:si>
  <x:si>
    <x:t xml:space="preserve">南京工厂</x:t>
  </x:si>
  <x:si>
    <x:t xml:space="preserve">I02</x:t>
  </x:si>
  <x:si>
    <x:t xml:space="preserve">Stellantis</x:t>
  </x:si>
  <x:si>
    <x:t xml:space="preserve">斯特兰蒂斯</x:t>
  </x:si>
  <x:si>
    <x:t xml:space="preserve">验证</x:t>
  </x:si>
  <x:si>
    <x:t xml:space="preserve">09</x:t>
  </x:si>
  <x:si>
    <x:t xml:space="preserve">Network</x:t>
  </x:si>
  <x:si>
    <x:t xml:space="preserve">河南工厂</x:t>
  </x:si>
  <x:si>
    <x:t xml:space="preserve">I03</x:t>
  </x:si>
  <x:si>
    <x:t xml:space="preserve">BMW</x:t>
  </x:si>
  <x:si>
    <x:t xml:space="preserve">宝马</x:t>
  </x:si>
  <x:si>
    <x:t xml:space="preserve">关闭</x:t>
  </x:si>
  <x:si>
    <x:t xml:space="preserve">10</x:t>
  </x:si>
  <x:si>
    <x:t xml:space="preserve">德国工厂</x:t>
  </x:si>
  <x:si>
    <x:t xml:space="preserve">I04</x:t>
  </x:si>
  <x:si>
    <x:t xml:space="preserve">VW</x:t>
  </x:si>
  <x:si>
    <x:t xml:space="preserve">大众</x:t>
  </x:si>
  <x:si>
    <x:t xml:space="preserve">关闭-用户撤销</x:t>
  </x:si>
  <x:si>
    <x:t xml:space="preserve">墨西哥工厂</x:t>
  </x:si>
  <x:si>
    <x:t xml:space="preserve">I05</x:t>
  </x:si>
  <x:si>
    <x:t xml:space="preserve">Volve</x:t>
  </x:si>
  <x:si>
    <x:t xml:space="preserve">沃尔沃</x:t>
  </x:si>
  <x:si>
    <x:t xml:space="preserve">其他</x:t>
  </x:si>
  <x:si>
    <x:t xml:space="preserve">摩洛哥工厂</x:t>
  </x:si>
  <x:si>
    <x:t xml:space="preserve">A01</x:t>
  </x:si>
  <x:si>
    <x:t xml:space="preserve">All</x:t>
  </x:si>
  <x:si>
    <x:t xml:space="preserve">所有</x:t>
  </x:si>
  <x:si>
    <x:t xml:space="preserve">A02</x:t>
  </x:si>
  <x:si>
    <x:t xml:space="preserve">Domestic</x:t>
  </x:si>
  <x:si>
    <x:t xml:space="preserve">国内所有</x:t>
  </x:si>
  <x:si>
    <x:t xml:space="preserve">A03</x:t>
  </x:si>
  <x:si>
    <x:t xml:space="preserve">International</x:t>
  </x:si>
  <x:si>
    <x:t xml:space="preserve">国际所有</x:t>
  </x:si>
  <x:si>
    <x:t xml:space="preserve">A21</x:t>
  </x:si>
  <x:si>
    <x:t xml:space="preserve">Zhuji</x:t>
  </x:si>
  <x:si>
    <x:t xml:space="preserve">诸暨工厂</x:t>
  </x:si>
  <x:si>
    <x:t xml:space="preserve">A22</x:t>
  </x:si>
  <x:si>
    <x:t xml:space="preserve">Non-Zhuji</x:t>
  </x:si>
  <x:si>
    <x:t xml:space="preserve">国内非诸暨工厂</x:t>
  </x:si>
  <x:si>
    <x:t xml:space="preserve">G21</x:t>
  </x:si>
  <x:si>
    <x:t xml:space="preserve">HRG</x:t>
  </x:si>
  <x:si>
    <x:t xml:space="preserve">集团HR</x:t>
  </x:si>
  <x:si>
    <x:t xml:space="preserve">G22</x:t>
  </x:si>
  <x:si>
    <x:t xml:space="preserve">PRG</x:t>
  </x:si>
  <x:si>
    <x:t xml:space="preserve">集团采购</x:t>
  </x:si>
  <x:si>
    <x:t xml:space="preserve">G23</x:t>
  </x:si>
  <x:si>
    <x:t xml:space="preserve">ITG</x:t>
  </x:si>
  <x:si>
    <x:t xml:space="preserve">集团IT</x:t>
  </x:si>
  <x:si>
    <x:t xml:space="preserve">G24</x:t>
  </x:si>
  <x:si>
    <x:t xml:space="preserve">FTG</x:t>
  </x:si>
  <x:si>
    <x:t xml:space="preserve">集团财务</x:t>
  </x:si>
  <x:si>
    <x:t xml:space="preserve">G25</x:t>
  </x:si>
  <x:si>
    <x:t xml:space="preserve">MGG</x:t>
  </x:si>
  <x:si>
    <x:t xml:space="preserve">集团运营</x:t>
  </x:si>
  <x:si>
    <x:t xml:space="preserve">G26</x:t>
  </x:si>
  <x:si>
    <x:t xml:space="preserve">QMG</x:t>
  </x:si>
  <x:si>
    <x:t xml:space="preserve">集团质量</x:t>
  </x:si>
  <x:si>
    <x:t xml:space="preserve">G27</x:t>
  </x:si>
  <x:si>
    <x:t xml:space="preserve">LOG</x:t>
  </x:si>
  <x:si>
    <x:t xml:space="preserve">集团物流</x:t>
  </x:si>
  <x:si>
    <x:t xml:space="preserve">项目风险/问题日志</x:t>
  </x:si>
  <x:si>
    <x:t xml:space="preserve">类型
(风险/问题)</x:t>
  </x:si>
  <x:si>
    <x:t xml:space="preserve">系统分类</x:t>
  </x:si>
  <x:si>
    <x:t xml:space="preserve">风险/问题描述及分析</x:t>
  </x:si>
  <x:si>
    <x:t xml:space="preserve">提出时间</x:t>
  </x:si>
  <x:si>
    <x:t xml:space="preserve">处理结果
(未解决/已解决)</x:t>
  </x:si>
  <x:si>
    <x:t xml:space="preserve">处理时间</x:t>
  </x:si>
  <x:si>
    <x:t xml:space="preserve">ITIL 事件优先级矩阵（影响度 × 紧急度）</x:t>
  </x:si>
  <x:si>
    <x:t xml:space="preserve">影响度 \ 紧急度</x:t>
  </x:si>
  <x:si>
    <x:t xml:space="preserve">高（High）</x:t>
  </x:si>
  <x:si>
    <x:t xml:space="preserve">中（Medium）</x:t>
  </x:si>
  <x:si>
    <x:t xml:space="preserve">低（Low）</x:t>
  </x:si>
  <x:si>
    <x:t xml:space="preserve">P1</x:t>
  </x:si>
  <x:si>
    <x:t xml:space="preserve">P2</x:t>
  </x:si>
  <x:si>
    <x:t xml:space="preserve">P3</x:t>
  </x:si>
  <x:si>
    <x:t xml:space="preserve">P4</x:t>
  </x:si>
  <x:si>
    <x:t xml:space="preserve">优先级说明</x:t>
  </x:si>
  <x:si>
    <x:t xml:space="preserve">名称</x:t>
  </x:si>
  <x:si>
    <x:t xml:space="preserve">定义</x:t>
  </x:si>
  <x:si>
    <x:t xml:space="preserve">典型响应时间</x:t>
  </x:si>
  <x:si>
    <x:t xml:space="preserve">典型解决时间</x:t>
  </x:si>
  <x:si>
    <x:t xml:space="preserve">紧急（Critical）</x:t>
  </x:si>
  <x:si>
    <x:t xml:space="preserve">核心业务完全中断，大量用户受影响，无 workaround</x:t>
  </x:si>
  <x:si>
    <x:t xml:space="preserve">15 分钟内</x:t>
  </x:si>
  <x:si>
    <x:t xml:space="preserve">4 小时内</x:t>
  </x:si>
  <x:si>
    <x:t xml:space="preserve">重要业务功能受损，较大范围用户受影响，有临时 workaround</x:t>
  </x:si>
  <x:si>
    <x:t xml:space="preserve">30 分钟内</x:t>
  </x:si>
  <x:si>
    <x:t xml:space="preserve">8 小时内</x:t>
  </x:si>
  <x:si>
    <x:t xml:space="preserve">非核心功能异常，小范围用户受影响，业务可正常运转</x:t>
  </x:si>
  <x:si>
    <x:t xml:space="preserve">2 小时内</x:t>
  </x:si>
  <x:si>
    <x:t xml:space="preserve">1 个工作日内</x:t>
  </x:si>
  <x:si>
    <x:t xml:space="preserve">轻微问题或咨询，单个用户受影响，不影响业务流程</x:t>
  </x:si>
  <x:si>
    <x:t xml:space="preserve">3 个工作日内</x:t>
  </x:si>
  <x:si>
    <x:t xml:space="preserve">影响度（Impact）定义</x:t>
  </x:si>
  <x:si>
    <x:t xml:space="preserve">等级</x:t>
  </x:si>
  <x:si>
    <x:t xml:space="preserve">受影响范围</x:t>
  </x:si>
  <x:si>
    <x:t xml:space="preserve">业务后果</x:t>
  </x:si>
  <x:si>
    <x:t xml:space="preserve">高</x:t>
  </x:si>
  <x:si>
    <x:t xml:space="preserve">核心业务系统或服务完全不可用</x:t>
  </x:si>
  <x:si>
    <x:t xml:space="preserve">全公司 / 全部门 / 大量用户（&gt;50%）</x:t>
  </x:si>
  <x:si>
    <x:t xml:space="preserve">业务中断，造成重大经济或声誉损失</x:t>
  </x:si>
  <x:si>
    <x:t xml:space="preserve">中</x:t>
  </x:si>
  <x:si>
    <x:t xml:space="preserve">重要功能受损但非完全不可用，或核心系统性能严重下降</x:t>
  </x:si>
  <x:si>
    <x:t xml:space="preserve">部分部门 / 较多用户（10%-50%）</x:t>
  </x:si>
  <x:si>
    <x:t xml:space="preserve">业务效率显著下降，存在可规避的 workaround</x:t>
  </x:si>
  <x:si>
    <x:t xml:space="preserve">低</x:t>
  </x:si>
  <x:si>
    <x:t xml:space="preserve">非核心功能异常，或仅影响个别用户</x:t>
  </x:si>
  <x:si>
    <x:t xml:space="preserve">个别部门 / 少量用户（&lt;10%）</x:t>
  </x:si>
  <x:si>
    <x:t xml:space="preserve">业务基本不受影响，用户体验下降</x:t>
  </x:si>
  <x:si>
    <x:t xml:space="preserve">紧急度（Urgency）定义</x:t>
  </x:si>
  <x:si>
    <x:t xml:space="preserve">时间容忍度</x:t>
  </x:si>
  <x:si>
    <x:t xml:space="preserve">典型场景</x:t>
  </x:si>
  <x:si>
    <x:t xml:space="preserve">需要立即处理，延迟会导致严重后果</x:t>
  </x:si>
  <x:si>
    <x:t xml:space="preserve">几乎无容忍（&lt;1 小时）</x:t>
  </x:si>
  <x:si>
    <x:t xml:space="preserve">核心系统宕机、交易中断、安全事件</x:t>
  </x:si>
  <x:si>
    <x:t xml:space="preserve">需要尽快处理，但可容忍一定延迟</x:t>
  </x:si>
  <x:si>
    <x:t xml:space="preserve">可容忍数小时（1-8 小时）</x:t>
  </x:si>
  <x:si>
    <x:t xml:space="preserve">重要功能异常、批量任务失败、性能下降</x:t>
  </x:si>
  <x:si>
    <x:t xml:space="preserve">可按计划处理，延迟影响有限</x:t>
  </x:si>
  <x:si>
    <x:t xml:space="preserve">可容忍数天（&gt;8 小时）</x:t>
  </x:si>
  <x:si>
    <x:t xml:space="preserve">界面小瑕疵、文档咨询、非紧急配置变更</x:t>
  </x:si>
  <x:si>
    <x:t xml:space="preserve">核心系统</x:t>
  </x:si>
  <x:si>
    <x:t xml:space="preserve">ERP</x:t>
  </x:si>
  <x:si>
    <x:t xml:space="preserve">Production</x:t>
  </x:si>
  <x:si>
    <x:t xml:space="preserve">Logistics</x:t>
  </x:si>
  <x:si>
    <x:t xml:space="preserve">事件优先级详细定义与 SLA 标准</x:t>
  </x:si>
  <x:si>
    <x:t xml:space="preserve">影响度×紧急度组合</x:t>
  </x:si>
  <x:si>
    <x:t xml:space="preserve">定义描述</x:t>
  </x:si>
  <x:si>
    <x:t xml:space="preserve">响应时间</x:t>
  </x:si>
  <x:si>
    <x:t xml:space="preserve">解决时间</x:t>
  </x:si>
  <x:si>
    <x:t xml:space="preserve">升级路径</x:t>
  </x:si>
  <x:si>
    <x:t xml:space="preserve">通知要求</x:t>
  </x:si>
  <x:si>
    <x:t xml:space="preserve">紧急 Critical</x:t>
  </x:si>
  <x:si>
    <x:t xml:space="preserve">高×高、高×中、中×高</x:t>
  </x:si>
  <x:si>
    <x:t xml:space="preserve">核心业务完全中断，大量用户无法使用关键服务，无可用 workaround，可能造成重大经济损失或合规风险</x:t>
  </x:si>
  <x:si>
    <x:t xml:space="preserve">≤15 分钟</x:t>
  </x:si>
  <x:si>
    <x:t xml:space="preserve">≤4 小时</x:t>
  </x:si>
  <x:si>
    <x:t xml:space="preserve">立即通知 IT 经理 / 服务经理；30 分钟未解决升级至 IT 总监；2 小时未解决升级至 CIO</x:t>
  </x:si>
  <x:si>
    <x:t xml:space="preserve">每 30 分钟向利益相关方发送进展通报；解决后 24 小时内提交 RCA 报告</x:t>
  </x:si>
  <x:si>
    <x:t xml:space="preserve">高 High</x:t>
  </x:si>
  <x:si>
    <x:t xml:space="preserve">高×低、中×中、低×高</x:t>
  </x:si>
  <x:si>
    <x:t xml:space="preserve">重要业务功能严重受损，较大范围用户受影响，存在临时 workaround 但效率低下</x:t>
  </x:si>
  <x:si>
    <x:t xml:space="preserve">≤30 分钟</x:t>
  </x:si>
  <x:si>
    <x:t xml:space="preserve">≤8 小时（或下一工作日）</x:t>
  </x:si>
  <x:si>
    <x:t xml:space="preserve">1 小时未解决升级至 IT 经理；4 小时未解决升级至 IT 总监</x:t>
  </x:si>
  <x:si>
    <x:t xml:space="preserve">每 1 小时发送进展通报；解决后 48 小时内提交 RCA 报告</x:t>
  </x:si>
  <x:si>
    <x:t xml:space="preserve">中 Medium</x:t>
  </x:si>
  <x:si>
    <x:t xml:space="preserve">中×低、低×中</x:t>
  </x:si>
  <x:si>
    <x:t xml:space="preserve">非核心功能异常，小范围用户受影响，核心业务可正常运转，有明确 workaround</x:t>
  </x:si>
  <x:si>
    <x:t xml:space="preserve">≤2 小时</x:t>
  </x:si>
  <x:si>
    <x:t xml:space="preserve">≤1 个工作日</x:t>
  </x:si>
  <x:si>
    <x:t xml:space="preserve">1 个工作日未解决升级至 IT 经理</x:t>
  </x:si>
  <x:si>
    <x:t xml:space="preserve">每日更新工单状态；解决后无需 RCA（除非重复发生）</x:t>
  </x:si>
  <x:si>
    <x:t xml:space="preserve">低 Low</x:t>
  </x:si>
  <x:si>
    <x:t xml:space="preserve">低×低</x:t>
  </x:si>
  <x:si>
    <x:t xml:space="preserve">轻微问题、咨询请求或 cosmetic 缺陷，单个用户受影响，不影响业务流程</x:t>
  </x:si>
  <x:si>
    <x:t xml:space="preserve">≤3 个工作日</x:t>
  </x:si>
  <x:si>
    <x:t xml:space="preserve">3 个工作日未解决升级至 IT 经理</x:t>
  </x:si>
  <x:si>
    <x:t xml:space="preserve">按常规工单流程处理；可批量纳入变更窗口解决</x:t>
  </x:si>
  <x:si>
    <x:t xml:space="preserve">各优先级典型事件案例</x:t>
  </x:si>
  <x:si>
    <x:t xml:space="preserve">事件描述</x:t>
  </x:si>
  <x:si>
    <x:t xml:space="preserve">紧急度</x:t>
  </x:si>
  <x:si>
    <x:t xml:space="preserve">处理要点</x:t>
  </x:si>
  <x:si>
    <x:t xml:space="preserve">核心 ERP 系统数据库宕机，全公司无法下单和发货</x:t>
  </x:si>
  <x:si>
    <x:t xml:space="preserve">全公司所有业务部门</x:t>
  </x:si>
  <x:si>
    <x:t xml:space="preserve">立即启动应急响应；切换至备用系统；DBA 现场排查；每 30 分钟通报；事后 RCA</x:t>
  </x:si>
  <x:si>
    <x:t xml:space="preserve">公司官网遭 DDoS 攻击，外部客户完全无法访问</x:t>
  </x:si>
  <x:si>
    <x:t xml:space="preserve">所有外部客户 + 品牌声誉</x:t>
  </x:si>
  <x:si>
    <x:t xml:space="preserve">安全团队介入；启用流量清洗；通知 ISP；法务/公关同步；保留取证日志</x:t>
  </x:si>
  <x:si>
    <x:t xml:space="preserve">邮件服务器全局故障，全员无法收发邮件</x:t>
  </x:si>
  <x:si>
    <x:t xml:space="preserve">全公司员工</x:t>
  </x:si>
  <x:si>
    <x:t xml:space="preserve">切换备用邮件网关；排查 Exchange/服务器；临时启用 Webmail；批量通知</x:t>
  </x:si>
  <x:si>
    <x:t xml:space="preserve">生产车间 MES 系统崩溃，生产线全部停摆</x:t>
  </x:si>
  <x:si>
    <x:t xml:space="preserve">全部生产线 + 生产计划</x:t>
  </x:si>
  <x:si>
    <x:t xml:space="preserve">IT 与生产联合应急；手动记录生产数据；优先恢复关键产线；评估产能损失</x:t>
  </x:si>
  <x:si>
    <x:t xml:space="preserve">OA 审批流程引擎异常，审批单无法流转</x:t>
  </x:si>
  <x:si>
    <x:t xml:space="preserve">全公司审批流程</x:t>
  </x:si>
  <x:si>
    <x:t xml:space="preserve">临时改为邮件审批；排查工作流引擎；恢复后补录审批记录；通知各部门</x:t>
  </x:si>
  <x:si>
    <x:t xml:space="preserve">VPN 网关故障，远程办公员工无法接入内网</x:t>
  </x:si>
  <x:si>
    <x:t xml:space="preserve">所有远程办公员工</x:t>
  </x:si>
  <x:si>
    <x:t xml:space="preserve">启用备用 VPN 节点；排查网关设备；发布临时接入指引；监控连接数恢复</x:t>
  </x:si>
  <x:si>
    <x:t xml:space="preserve">财务系统月结模块报错，无法完成月度结账</x:t>
  </x:si>
  <x:si>
    <x:t xml:space="preserve">财务部 + 月结时间表</x:t>
  </x:si>
  <x:si>
    <x:t xml:space="preserve">财务先手工汇总；IT 排查模块日志；协调厂商支持；确保不影响报税截止日</x:t>
  </x:si>
  <x:si>
    <x:t xml:space="preserve">CRM 系统查询性能严重下降，销售团队效率受影响</x:t>
  </x:si>
  <x:si>
    <x:t xml:space="preserve">销售团队（约 30% 用户）</x:t>
  </x:si>
  <x:si>
    <x:t xml:space="preserve">排查数据库慢查询；临时增加缓存；优化索引；性能恢复后做容量评估</x:t>
  </x:si>
  <x:si>
    <x:t xml:space="preserve">会议室预订系统部分时段显示异常</x:t>
  </x:si>
  <x:si>
    <x:t xml:space="preserve">使用该系统的员工</x:t>
  </x:si>
  <x:si>
    <x:t xml:space="preserve">排查日历同步接口；临时改为前台人工预订；下个版本修复；通知行政部</x:t>
  </x:si>
  <x:si>
    <x:t xml:space="preserve">某部门打印机驱动不兼容，无法打印彩色</x:t>
  </x:si>
  <x:si>
    <x:t xml:space="preserve">该部门员工</x:t>
  </x:si>
  <x:si>
    <x:t xml:space="preserve">远程协助更新驱动；如无法解决安排现场支持；记录设备型号做批量更新</x:t>
  </x:si>
  <x:si>
    <x:t xml:space="preserve">HR 系统员工自助查询页面个别字段显示错误</x:t>
  </x:si>
  <x:si>
    <x:t xml:space="preserve">使用自助查询的员工</x:t>
  </x:si>
  <x:si>
    <x:t xml:space="preserve">确认是前端展示问题不影响数据；排期修复；告知用户数据以 HR 后台为准</x:t>
  </x:si>
  <x:si>
    <x:t xml:space="preserve">开发团队 Git 仓库某分支合并冲突无法自动解决</x:t>
  </x:si>
  <x:si>
    <x:t xml:space="preserve">该开发团队</x:t>
  </x:si>
  <x:si>
    <x:t xml:space="preserve">协助人工解决冲突；检查分支保护策略；提供 Git 操作培训建议</x:t>
  </x:si>
  <x:si>
    <x:t xml:space="preserve">新员工入职电脑壁纸需要统一更换</x:t>
  </x:si>
  <x:si>
    <x:t xml:space="preserve">新入职员工</x:t>
  </x:si>
  <x:si>
    <x:t xml:space="preserve">通过域策略批量推送；纳入常规入职流程；无需单独工单跟进</x:t>
  </x:si>
  <x:si>
    <x:t xml:space="preserve">某软件界面错别字需要修正</x:t>
  </x:si>
  <x:si>
    <x:t xml:space="preserve">所有使用该软件的用户</x:t>
  </x:si>
  <x:si>
    <x:t xml:space="preserve">记录到缺陷跟踪系统；随下个版本发布修复；不单独安排紧急发布</x:t>
  </x:si>
  <x:si>
    <x:t xml:space="preserve">员工咨询如何配置手机邮箱客户端</x:t>
  </x:si>
  <x:si>
    <x:t xml:space="preserve">单个员工</x:t>
  </x:si>
  <x:si>
    <x:t xml:space="preserve">提供知识库文档链接；远程指导配置；更新自助服务知识库</x:t>
  </x:si>
  <x:si>
    <x:t xml:space="preserve">共享盘某文件夹权限需要调整（新增访问人员）</x:t>
  </x:si>
  <x:si>
    <x:t xml:space="preserve">需要访问的个别员工</x:t>
  </x:si>
  <x:si>
    <x:t xml:space="preserve">核实审批流程后调整权限；记录权限变更日志；通知申请人测试访问</x:t>
  </x:si>
</x:sst>
</file>

<file path=xl/styles.xml><?xml version="1.0" encoding="utf-8"?>
<x:styleSheet xmlns:x="http://schemas.openxmlformats.org/spreadsheetml/2006/main">
  <x:numFmts count="2">
    <x:numFmt numFmtId="164" formatCode="yyyy/mm/dd"/>
    <x:numFmt numFmtId="200" formatCode="yyyy-mm-dd"/>
  </x:numFmts>
  <x:fonts count="26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b/>
      <x:sz val="9"/>
      <x:color rgb="FF333333"/>
      <x:name val="宋体"/>
    </x:font>
    <x:font>
      <x:b/>
      <x:sz val="10"/>
      <x:color rgb="FF333333"/>
      <x:name val="宋体"/>
    </x:font>
    <x:font>
      <x:b/>
      <x:sz val="9"/>
      <x:color rgb="FF333333"/>
      <x:name val="微软雅黑"/>
    </x:font>
    <x:font>
      <x:sz val="9"/>
      <x:name val="SimSun"/>
    </x:font>
    <x:font>
      <x:sz val="9"/>
      <x:color rgb="FF000000"/>
      <x:name val="SimSun"/>
    </x:font>
    <x:font>
      <x:sz val="11"/>
      <x:color indexed="8"/>
      <x:name val="Calibri"/>
    </x:font>
    <x:font>
      <x:sz val="11"/>
      <x:color theme="1"/>
      <x:name val="Calibri"/>
    </x:font>
    <x:font>
      <x:sz val="8"/>
      <x:name val="Calibri"/>
    </x:font>
    <x:font>
      <x:sz val="11"/>
      <x:color theme="0"/>
      <x:name val="Calibri"/>
    </x:font>
    <x:font>
      <x:b/>
      <x:sz val="9"/>
      <x:color rgb="FF333333"/>
      <x:name val="微软雅黑"/>
    </x:font>
    <x:font>
      <x:b/>
      <x:sz val="14"/>
      <x:color rgb="FF1F3864"/>
      <x:name val="微软雅黑"/>
    </x:font>
    <x:font>
      <x:b/>
      <x:sz val="11"/>
      <x:color rgb="FFFFFFFF"/>
      <x:name val="微软雅黑"/>
    </x:font>
    <x:font>
      <x:b/>
      <x:sz val="10"/>
      <x:color rgb="FF000000"/>
      <x:name val="微软雅黑"/>
    </x:font>
    <x:font>
      <x:b/>
      <x:sz val="12"/>
      <x:color rgb="FFFFFFFF"/>
      <x:name val="微软雅黑"/>
    </x:font>
    <x:font>
      <x:b/>
      <x:sz val="12"/>
      <x:color rgb="FF000000"/>
      <x:name val="微软雅黑"/>
    </x:font>
    <x:font>
      <x:b/>
      <x:sz val="12"/>
      <x:color rgb="FF1F3864"/>
      <x:name val="微软雅黑"/>
    </x:font>
    <x:font>
      <x:b/>
      <x:sz val="10"/>
      <x:color rgb="FFFFFFFF"/>
      <x:name val="微软雅黑"/>
    </x:font>
    <x:font>
      <x:sz val="10"/>
      <x:color rgb="FF000000"/>
      <x:name val="微软雅黑"/>
    </x:font>
    <x:font>
      <x:b/>
      <x:sz val="11"/>
      <x:color rgb="FF000000"/>
      <x:name val="微软雅黑"/>
    </x:font>
    <x:font>
      <x:sz val="11"/>
      <x:color theme="10"/>
      <x:name val="Calibri"/>
    </x:font>
    <x:font>
      <x:sz val="9"/>
      <x:color theme="1"/>
      <x:name val="Calibri"/>
    </x:font>
    <x:font>
      <x:b/>
      <x:sz val="9"/>
      <x:name val="SimSun"/>
    </x:font>
    <x:font>
      <x:sz val="9"/>
      <x:color theme="10"/>
      <x:name val="Calibri"/>
    </x:font>
  </x:fonts>
  <x:fills count="17">
    <x:fill>
      <x:patternFill patternType="none"/>
    </x:fill>
    <x:fill>
      <x:patternFill patternType="gray125"/>
    </x:fill>
    <x:fill>
      <x:patternFill patternType="solid">
        <x:fgColor rgb="FF99CCFF"/>
      </x:patternFill>
    </x:fill>
    <x:fill>
      <x:patternFill patternType="solid">
        <x:fgColor rgb="FFFFFF99"/>
      </x:patternFill>
    </x:fill>
    <x:fill>
      <x:patternFill patternType="solid">
        <x:fgColor rgb="FFFFFF99"/>
      </x:patternFill>
    </x:fill>
    <x:fill>
      <x:patternFill patternType="solid">
        <x:fgColor rgb="FFFFFFFF"/>
      </x:patternFill>
    </x:fill>
    <x:fill>
      <x:patternFill patternType="solid">
        <x:fgColor theme="0"/>
      </x:patternFill>
    </x:fill>
    <x:fill>
      <x:patternFill patternType="solid">
        <x:fgColor rgb="FF0070C0"/>
      </x:patternFill>
    </x:fill>
    <x:fill>
      <x:patternFill patternType="solid">
        <x:fgColor theme="4" tint="0.59999"/>
      </x:patternFill>
    </x:fill>
    <x:fill>
      <x:patternFill patternType="solid">
        <x:fgColor rgb="FF305496"/>
      </x:patternFill>
    </x:fill>
    <x:fill>
      <x:patternFill patternType="solid">
        <x:fgColor rgb="FFD9E1F2"/>
      </x:patternFill>
    </x:fill>
    <x:fill>
      <x:patternFill patternType="solid">
        <x:fgColor rgb="FFC00000"/>
      </x:patternFill>
    </x:fill>
    <x:fill>
      <x:patternFill patternType="solid">
        <x:fgColor rgb="FFED7D31"/>
      </x:patternFill>
    </x:fill>
    <x:fill>
      <x:patternFill patternType="solid">
        <x:fgColor rgb="FFFFC000"/>
      </x:patternFill>
    </x:fill>
    <x:fill>
      <x:patternFill patternType="solid">
        <x:fgColor rgb="FF70AD47"/>
      </x:patternFill>
    </x:fill>
    <x:fill>
      <x:patternFill patternType="solid">
        <x:fgColor rgb="FFE2EFDA"/>
      </x:patternFill>
    </x:fill>
    <x:fill>
      <x:patternFill patternType="solid">
        <x:fgColor theme="9" tint="0.79998"/>
      </x:patternFill>
    </x:fill>
  </x:fills>
  <x:borders count="47">
    <x:border/>
    <x:border>
      <x:left style="medium">
        <x:color rgb="FF00B0F0"/>
      </x:left>
      <x:top style="medium">
        <x:color rgb="FF00B0F0"/>
      </x:top>
      <x:bottom style="medium">
        <x:color rgb="FF00B0F0"/>
      </x:bottom>
    </x:border>
    <x:border>
      <x:top style="medium">
        <x:color rgb="FF00B0F0"/>
      </x:top>
      <x:bottom style="medium">
        <x:color rgb="FF00B0F0"/>
      </x:bottom>
    </x:border>
    <x:border>
      <x:left style="medium">
        <x:color rgb="FF00CCFF"/>
      </x:left>
      <x:right style="dashed">
        <x:color rgb="FF00CCFF"/>
      </x:right>
      <x:top style="medium">
        <x:color rgb="FF00B0F0"/>
      </x:top>
      <x:bottom style="dashed">
        <x:color rgb="FF00CCFF"/>
      </x:bottom>
    </x:border>
    <x:border>
      <x:left style="dashed">
        <x:color rgb="FF00CCFF"/>
      </x:left>
      <x:right style="dashed">
        <x:color rgb="FF00CCFF"/>
      </x:right>
      <x:top style="medium">
        <x:color rgb="FF00B0F0"/>
      </x:top>
      <x:bottom style="dashed">
        <x:color rgb="FF00CCFF"/>
      </x:bottom>
    </x:border>
    <x:border>
      <x:left style="dashed">
        <x:color rgb="FF00CCFF"/>
      </x:left>
      <x:right style="medium">
        <x:color rgb="FF00CCFF"/>
      </x:right>
      <x:top style="medium">
        <x:color rgb="FF00B0F0"/>
      </x:top>
      <x:bottom style="dashed">
        <x:color rgb="FF00CCFF"/>
      </x:bottom>
    </x:border>
    <x:border>
      <x:left style="medium">
        <x:color rgb="FF00CCFF"/>
      </x:left>
      <x:right style="dashed">
        <x:color rgb="FF00CCFF"/>
      </x:right>
      <x:top style="dashed">
        <x:color rgb="FF00CCFF"/>
      </x:top>
      <x:bottom style="dashed">
        <x:color rgb="FF00CCFF"/>
      </x:bottom>
    </x:border>
    <x:border>
      <x:left style="dashed">
        <x:color rgb="FF00CCFF"/>
      </x:left>
      <x:right style="dashed">
        <x:color rgb="FF00CCFF"/>
      </x:right>
      <x:top style="dashed">
        <x:color rgb="FF00CCFF"/>
      </x:top>
      <x:bottom style="dashed">
        <x:color rgb="FF00CCFF"/>
      </x:bottom>
    </x:border>
    <x:border>
      <x:left style="dashed">
        <x:color rgb="FF00CCFF"/>
      </x:left>
      <x:right style="medium">
        <x:color rgb="FF00CCFF"/>
      </x:right>
      <x:top style="dashed">
        <x:color rgb="FF00CCFF"/>
      </x:top>
      <x:bottom style="dashed">
        <x:color rgb="FF00CCFF"/>
      </x:bottom>
    </x:border>
    <x:border>
      <x:left style="medium">
        <x:color rgb="FF00CCFF"/>
      </x:left>
      <x:right style="dashed">
        <x:color rgb="FF00CCFF"/>
      </x:right>
      <x:top style="dashed">
        <x:color rgb="FF00CCFF"/>
      </x:top>
      <x:bottom style="medium">
        <x:color rgb="FF00CCFF"/>
      </x:bottom>
    </x:border>
    <x:border>
      <x:left style="dashed">
        <x:color rgb="FF00CCFF"/>
      </x:left>
      <x:right style="dashed">
        <x:color rgb="FF00CCFF"/>
      </x:right>
      <x:top style="dashed">
        <x:color rgb="FF00CCFF"/>
      </x:top>
      <x:bottom style="medium">
        <x:color rgb="FF00CCFF"/>
      </x:bottom>
    </x:border>
    <x:border>
      <x:left style="dashed">
        <x:color rgb="FF00CCFF"/>
      </x:left>
      <x:right style="medium">
        <x:color rgb="FF00CCFF"/>
      </x:right>
      <x:top style="dashed">
        <x:color rgb="FF00CCFF"/>
      </x:top>
      <x:bottom style="medium">
        <x:color rgb="FF00CCFF"/>
      </x:bottom>
    </x:border>
    <x:border>
      <x:right style="dashed">
        <x:color rgb="FF00CCFF"/>
      </x:right>
      <x:top style="dashed">
        <x:color rgb="FF00CCFF"/>
      </x:top>
      <x:bottom style="dashed">
        <x:color rgb="FF00CCFF"/>
      </x:bottom>
    </x:border>
    <x:border>
      <x:right style="dashed">
        <x:color rgb="FF00CCFF"/>
      </x:right>
      <x:top style="dashed">
        <x:color rgb="FF00CCFF"/>
      </x:top>
    </x:border>
    <x:border>
      <x:left style="dashed">
        <x:color rgb="FF00CCFF"/>
      </x:left>
      <x:right style="dashed">
        <x:color rgb="FF00CCFF"/>
      </x:right>
      <x:top style="dashed">
        <x:color rgb="FF00CCFF"/>
      </x:top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medium">
        <x:color indexed="64"/>
      </x:left>
      <x:right style="dashed">
        <x:color rgb="FF00CCFF"/>
      </x:right>
      <x:top style="dashed">
        <x:color rgb="FF00CCFF"/>
      </x:top>
      <x:bottom style="dashed">
        <x:color rgb="FF00CCFF"/>
      </x:bottom>
    </x:border>
    <x:border>
      <x:left style="dashed">
        <x:color rgb="FF00CCFF"/>
      </x:left>
      <x:right style="medium">
        <x:color indexed="64"/>
      </x:right>
      <x:top style="dashed">
        <x:color rgb="FF00CCFF"/>
      </x:top>
      <x:bottom style="dashed">
        <x:color rgb="FF00CCFF"/>
      </x:bottom>
    </x:border>
    <x:border>
      <x:left style="dashed">
        <x:color rgb="FF00CCFF"/>
      </x:left>
      <x:right style="medium">
        <x:color indexed="64"/>
      </x:right>
      <x:top style="dashed">
        <x:color rgb="FF00CCFF"/>
      </x:top>
    </x:border>
    <x:border>
      <x:left style="medium">
        <x:color indexed="64"/>
      </x:left>
      <x:right style="dashed">
        <x:color rgb="FF00CCFF"/>
      </x:right>
      <x:top style="dashed">
        <x:color rgb="FF00CCFF"/>
      </x:top>
      <x:bottom style="medium">
        <x:color indexed="64"/>
      </x:bottom>
    </x:border>
    <x:border>
      <x:right style="dashed">
        <x:color rgb="FF00CCFF"/>
      </x:right>
      <x:top style="dashed">
        <x:color rgb="FF00CCFF"/>
      </x:top>
      <x:bottom style="medium">
        <x:color indexed="64"/>
      </x:bottom>
    </x:border>
    <x:border>
      <x:left style="dashed">
        <x:color rgb="FF00CCFF"/>
      </x:left>
      <x:right style="dashed">
        <x:color rgb="FF00CCFF"/>
      </x:right>
      <x:top style="dashed">
        <x:color rgb="FF00CCFF"/>
      </x:top>
      <x:bottom style="medium">
        <x:color indexed="64"/>
      </x:bottom>
    </x:border>
    <x:border>
      <x:left style="dashed">
        <x:color rgb="FF00CCFF"/>
      </x:left>
      <x:right style="medium">
        <x:color indexed="64"/>
      </x:right>
      <x:top style="dashed">
        <x:color rgb="FF00CCFF"/>
      </x:top>
      <x:bottom style="medium">
        <x:color indexed="64"/>
      </x:bottom>
    </x:border>
    <x:border>
      <x:left style="dashed">
        <x:color rgb="FF00CCFF"/>
      </x:left>
      <x:top style="dashed">
        <x:color rgb="FF00CCFF"/>
      </x:top>
    </x:border>
    <x:border>
      <x:left style="dashed">
        <x:color rgb="FF00CCFF"/>
      </x:left>
      <x:top style="dashed">
        <x:color rgb="FF00CCFF"/>
      </x:top>
      <x:bottom style="medium">
        <x:color indexed="64"/>
      </x:bottom>
    </x:border>
    <x:border>
      <x:left style="medium">
        <x:color indexed="64"/>
      </x:left>
      <x:right style="dashed">
        <x:color rgb="FF00CCFF"/>
      </x:right>
      <x:bottom style="dashed">
        <x:color rgb="FF00CCFF"/>
      </x:bottom>
    </x:border>
    <x:border>
      <x:right style="dashed">
        <x:color rgb="FF00CCFF"/>
      </x:right>
      <x:bottom style="dashed">
        <x:color rgb="FF00CCFF"/>
      </x:bottom>
    </x:border>
    <x:border>
      <x:left style="dashed">
        <x:color rgb="FF00CCFF"/>
      </x:left>
      <x:right style="dashed">
        <x:color rgb="FF00CCFF"/>
      </x:right>
      <x:bottom style="dashed">
        <x:color rgb="FF00CCFF"/>
      </x:bottom>
    </x:border>
    <x:border>
      <x:left style="dashed">
        <x:color rgb="FF00CCFF"/>
      </x:left>
      <x:right style="medium">
        <x:color indexed="64"/>
      </x:right>
      <x:bottom style="dashed">
        <x:color rgb="FF00CCFF"/>
      </x:bottom>
    </x:border>
    <x:border>
      <x:left style="medium">
        <x:color indexed="64"/>
      </x:left>
      <x:right style="dashed">
        <x:color rgb="FF00CCFF"/>
      </x:right>
      <x:top style="medium">
        <x:color indexed="64"/>
      </x:top>
      <x:bottom style="medium">
        <x:color indexed="64"/>
      </x:bottom>
    </x:border>
    <x:border>
      <x:right style="dashed">
        <x:color rgb="FF00CCFF"/>
      </x:right>
      <x:top style="medium">
        <x:color indexed="64"/>
      </x:top>
      <x:bottom style="medium">
        <x:color indexed="64"/>
      </x:bottom>
    </x:border>
    <x:border>
      <x:left style="dashed">
        <x:color rgb="FF00CCFF"/>
      </x:left>
      <x:right style="dashed">
        <x:color rgb="FF00CCFF"/>
      </x:right>
      <x:top style="medium">
        <x:color indexed="64"/>
      </x:top>
      <x:bottom style="medium">
        <x:color indexed="64"/>
      </x:bottom>
    </x:border>
    <x:border>
      <x:left style="dashed">
        <x:color rgb="FF00CCFF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rgb="FFBFEFFF"/>
      </x:right>
      <x:bottom style="thin">
        <x:color rgb="FFBFEFFF"/>
      </x:bottom>
    </x:border>
    <x:border>
      <x:left style="thin">
        <x:color rgb="FFBFEFFF"/>
      </x:left>
      <x:right style="thin">
        <x:color rgb="FFBFEFFF"/>
      </x:right>
      <x:bottom style="thin">
        <x:color rgb="FFBFEFFF"/>
      </x:bottom>
    </x:border>
    <x:border>
      <x:left style="thin">
        <x:color rgb="FFBFEFFF"/>
      </x:left>
      <x:right style="dashed">
        <x:color rgb="FF00CCFF"/>
      </x:right>
      <x:bottom style="thin">
        <x:color rgb="FFBFEFFF"/>
      </x:bottom>
    </x:border>
    <x:border>
      <x:left style="medium">
        <x:color indexed="64"/>
      </x:left>
      <x:right style="thin">
        <x:color rgb="FFBFEFFF"/>
      </x:right>
      <x:top style="thin">
        <x:color rgb="FFBFEFFF"/>
      </x:top>
      <x:bottom style="thin">
        <x:color rgb="FFBFEFFF"/>
      </x:bottom>
    </x:border>
    <x:border>
      <x:left style="thin">
        <x:color rgb="FFBFEFFF"/>
      </x:left>
      <x:right style="thin">
        <x:color rgb="FFBFEFFF"/>
      </x:right>
      <x:top style="thin">
        <x:color rgb="FFBFEFFF"/>
      </x:top>
      <x:bottom style="thin">
        <x:color rgb="FFBFEFFF"/>
      </x:bottom>
    </x:border>
    <x:border>
      <x:left style="thin">
        <x:color rgb="FFBFEFFF"/>
      </x:left>
      <x:right style="dashed">
        <x:color rgb="FF00CCFF"/>
      </x:right>
      <x:top style="thin">
        <x:color rgb="FFBFEFFF"/>
      </x:top>
      <x:bottom style="thin">
        <x:color rgb="FFBFEFFF"/>
      </x:bottom>
    </x:border>
    <x:border>
      <x:left style="medium">
        <x:color indexed="64"/>
      </x:left>
      <x:right style="thin">
        <x:color rgb="FFBFEFFF"/>
      </x:right>
      <x:top style="thin">
        <x:color rgb="FFBFEFFF"/>
      </x:top>
      <x:bottom style="dashed">
        <x:color rgb="FF00CCFF"/>
      </x:bottom>
    </x:border>
    <x:border>
      <x:left style="thin">
        <x:color rgb="FFBFEFFF"/>
      </x:left>
      <x:right style="thin">
        <x:color rgb="FFBFEFFF"/>
      </x:right>
      <x:top style="thin">
        <x:color rgb="FFBFEFFF"/>
      </x:top>
      <x:bottom style="dashed">
        <x:color rgb="FF00CCFF"/>
      </x:bottom>
    </x:border>
    <x:border>
      <x:left style="thin">
        <x:color rgb="FFBFEFFF"/>
      </x:left>
      <x:right style="dashed">
        <x:color rgb="FF00CCFF"/>
      </x:right>
      <x:top style="thin">
        <x:color rgb="FFBFEFFF"/>
      </x:top>
      <x:bottom style="dashed">
        <x:color rgb="FF00CCFF"/>
      </x:bottom>
    </x:border>
    <x:border>
      <x:left style="medium">
        <x:color rgb="FF00CCFF"/>
      </x:left>
      <x:right style="thin">
        <x:color rgb="FFBFEFFF"/>
      </x:right>
      <x:top style="dashed">
        <x:color rgb="FF00CCFF"/>
      </x:top>
      <x:bottom style="thin">
        <x:color rgb="FFBFEFFF"/>
      </x:bottom>
    </x:border>
    <x:border>
      <x:left style="thin">
        <x:color rgb="FFBFEFFF"/>
      </x:left>
      <x:right style="thin">
        <x:color rgb="FFBFEFFF"/>
      </x:right>
      <x:top style="dashed">
        <x:color rgb="FF00CCFF"/>
      </x:top>
      <x:bottom style="thin">
        <x:color rgb="FFBFEFFF"/>
      </x:bottom>
    </x:border>
    <x:border>
      <x:left style="thin">
        <x:color rgb="FFBFEFFF"/>
      </x:left>
      <x:right style="dashed">
        <x:color rgb="FF00CCFF"/>
      </x:right>
      <x:top style="dashed">
        <x:color rgb="FF00CCFF"/>
      </x:top>
      <x:bottom style="thin">
        <x:color rgb="FFBFEFFF"/>
      </x:bottom>
    </x:border>
    <x:border>
      <x:left style="medium">
        <x:color rgb="FF00CCFF"/>
      </x:left>
      <x:right style="thin">
        <x:color rgb="FFBFEFFF"/>
      </x:right>
      <x:top style="thin">
        <x:color rgb="FFBFEFFF"/>
      </x:top>
      <x:bottom style="thin">
        <x:color rgb="FFBFEFFF"/>
      </x:bottom>
    </x:border>
    <x:border>
      <x:left style="medium">
        <x:color rgb="FF00CCFF"/>
      </x:left>
      <x:right style="thin">
        <x:color rgb="FFBFEFFF"/>
      </x:right>
      <x:top style="thin">
        <x:color rgb="FFBFEFFF"/>
      </x:top>
      <x:bottom style="dashed">
        <x:color rgb="FF00CCFF"/>
      </x:bottom>
    </x:border>
  </x:borders>
  <x:cellStyleXfs count="5">
    <x:xf numFmtId="0" fontId="0" fillId="0" borderId="0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" fillId="0" borderId="0" applyNumberFormat="0" applyFont="0" applyFill="0" applyBorder="0" applyProtection="0"/>
    <x:xf numFmtId="0" fontId="22" fillId="0" borderId="0" applyNumberFormat="0" applyFill="0" applyBorder="0" applyAlignment="0" applyProtection="0">
      <x:alignment vertical="center"/>
    </x:xf>
  </x:cellStyleXfs>
  <x:cellXfs count="19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3" fillId="2" borderId="2" xfId="1" applyFont="1" applyFill="1" applyBorder="1" applyAlignment="1">
      <x:alignment horizontal="center" vertical="center" wrapText="1"/>
    </x:xf>
    <x:xf numFmtId="0" fontId="4" fillId="2" borderId="2" xfId="1" applyFont="1" applyFill="1" applyBorder="1" applyAlignment="1">
      <x:alignment vertical="center" wrapText="1"/>
    </x:xf>
    <x:xf numFmtId="0" fontId="3" fillId="3" borderId="3" xfId="1" applyFont="1" applyFill="1" applyBorder="1" applyAlignment="1">
      <x:alignment horizontal="center" vertical="center" wrapText="1"/>
    </x:xf>
    <x:xf numFmtId="0" fontId="5" fillId="4" borderId="4" xfId="0" applyFont="1" applyFill="1" applyBorder="1" applyAlignment="1">
      <x:alignment horizontal="center" vertical="center" wrapText="1"/>
    </x:xf>
    <x:xf numFmtId="0" fontId="6" fillId="5" borderId="6" xfId="1" applyFont="1" applyFill="1" applyBorder="1" applyAlignment="1">
      <x:alignment horizontal="center" vertical="center" wrapText="1"/>
    </x:xf>
    <x:xf numFmtId="0" fontId="7" fillId="0" borderId="7" xfId="0" applyFont="1" applyBorder="1" applyAlignment="1">
      <x:alignment horizontal="center" vertical="center" wrapText="1"/>
    </x:xf>
    <x:xf numFmtId="14" fontId="7" fillId="0" borderId="7" xfId="0" applyNumberFormat="1" applyFont="1" applyBorder="1" applyAlignment="1">
      <x:alignment horizontal="center" vertical="center" wrapText="1"/>
    </x:xf>
    <x:xf numFmtId="14" fontId="7" fillId="6" borderId="7" xfId="0" applyNumberFormat="1" applyFont="1" applyFill="1" applyBorder="1" applyAlignment="1">
      <x:alignment horizontal="center" vertical="center" wrapText="1"/>
    </x:xf>
    <x:xf numFmtId="0" fontId="6" fillId="5" borderId="9" xfId="1" applyFont="1" applyFill="1" applyBorder="1" applyAlignment="1">
      <x:alignment horizontal="center" vertical="center" wrapText="1"/>
    </x:xf>
    <x:xf numFmtId="0" fontId="7" fillId="0" borderId="10" xfId="0" applyFont="1" applyBorder="1" applyAlignment="1">
      <x:alignment horizontal="center" vertical="center" wrapText="1"/>
    </x:xf>
    <x:xf numFmtId="14" fontId="7" fillId="0" borderId="10" xfId="0" applyNumberFormat="1" applyFont="1" applyBorder="1" applyAlignment="1">
      <x:alignment horizontal="center" vertical="center" wrapText="1"/>
    </x:xf>
    <x:xf numFmtId="14" fontId="7" fillId="6" borderId="10" xfId="0" applyNumberFormat="1" applyFont="1" applyFill="1" applyBorder="1" applyAlignment="1">
      <x:alignment horizontal="center" vertical="center" wrapText="1"/>
    </x:xf>
    <x:xf numFmtId="0" fontId="0" fillId="0" borderId="0" xfId="0">
      <x:alignment vertical="center"/>
    </x:xf>
    <x:xf numFmtId="0" fontId="11" fillId="7" borderId="0" xfId="0" applyFont="1" applyFill="1">
      <x:alignment vertical="center"/>
    </x:xf>
    <x:xf numFmtId="0" fontId="6" fillId="5" borderId="13" xfId="1" applyFont="1" applyFill="1" applyBorder="1" applyAlignment="1">
      <x:alignment horizontal="center" vertical="center" wrapText="1"/>
    </x:xf>
    <x:xf numFmtId="0" fontId="7" fillId="0" borderId="14" xfId="0" applyFont="1" applyBorder="1" applyAlignment="1">
      <x:alignment horizontal="center" vertical="center" wrapText="1"/>
    </x:xf>
    <x:xf numFmtId="14" fontId="7" fillId="6" borderId="14" xfId="0" applyNumberFormat="1" applyFont="1" applyFill="1" applyBorder="1" applyAlignment="1">
      <x:alignment horizontal="center" vertical="center" wrapText="1"/>
    </x:xf>
    <x:xf numFmtId="0" fontId="0" fillId="0" borderId="0" xfId="0" applyAlignment="1">
      <x:alignment horizontal="left" vertical="center"/>
    </x:xf>
    <x:xf numFmtId="164" fontId="7" fillId="0" borderId="14" xfId="0" applyNumberFormat="1" applyFont="1" applyBorder="1" applyAlignment="1">
      <x:alignment horizontal="center" vertical="center" wrapText="1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left" vertical="center"/>
    </x:xf>
    <x:xf numFmtId="0" fontId="7" fillId="0" borderId="10" xfId="0" applyFont="1" applyBorder="1" applyAlignment="1">
      <x:alignment horizontal="center" vertical="center" wrapText="1"/>
    </x:xf>
    <x:xf numFmtId="0" fontId="7" fillId="0" borderId="7" xfId="0" applyFont="1" applyBorder="1" applyAlignment="1">
      <x:alignment horizontal="center" vertical="center" wrapText="1"/>
    </x:xf>
    <x:xf numFmtId="0" fontId="7" fillId="6" borderId="7" xfId="0" applyFont="1" applyFill="1" applyBorder="1" applyAlignment="1">
      <x:alignment horizontal="left" vertical="center" wrapText="1"/>
    </x:xf>
    <x:xf numFmtId="0" fontId="7" fillId="6" borderId="8" xfId="0" applyFont="1" applyFill="1" applyBorder="1" applyAlignment="1">
      <x:alignment horizontal="left" vertical="center" wrapText="1"/>
    </x:xf>
    <x:xf numFmtId="0" fontId="7" fillId="6" borderId="10" xfId="0" applyFont="1" applyFill="1" applyBorder="1" applyAlignment="1">
      <x:alignment horizontal="left" vertical="center" wrapText="1"/>
    </x:xf>
    <x:xf numFmtId="0" fontId="7" fillId="6" borderId="11" xfId="0" applyFont="1" applyFill="1" applyBorder="1" applyAlignment="1">
      <x:alignment horizontal="left" vertical="center" wrapText="1"/>
    </x:xf>
    <x:xf numFmtId="0" fontId="3" fillId="2" borderId="1" xfId="1" applyFont="1" applyFill="1" applyBorder="1" applyAlignment="1">
      <x:alignment vertical="center" wrapText="1"/>
    </x:xf>
    <x:xf numFmtId="0" fontId="3" fillId="2" borderId="2" xfId="1" applyFont="1" applyFill="1" applyBorder="1" applyAlignment="1">
      <x:alignment vertical="center" wrapText="1"/>
    </x:xf>
    <x:xf numFmtId="0" fontId="4" fillId="2" borderId="2" xfId="1" applyFont="1" applyFill="1" applyBorder="1" applyAlignment="1">
      <x:alignment vertical="center" wrapText="1"/>
    </x:xf>
    <x:xf numFmtId="0" fontId="5" fillId="4" borderId="4" xfId="0" applyFont="1" applyFill="1" applyBorder="1" applyAlignment="1">
      <x:alignment horizontal="center" vertical="center" wrapText="1"/>
    </x:xf>
    <x:xf numFmtId="0" fontId="5" fillId="4" borderId="5" xfId="0" applyFont="1" applyFill="1" applyBorder="1" applyAlignment="1">
      <x:alignment horizontal="center" vertical="center" wrapText="1"/>
    </x:xf>
    <x:xf numFmtId="0" fontId="11" fillId="8" borderId="0" xfId="0" applyFont="1" applyFill="1">
      <x:alignment vertical="center"/>
    </x:xf>
    <x:xf numFmtId="0" fontId="13" fillId="0" borderId="0" xfId="3" applyFont="1"/>
    <x:xf numFmtId="0" fontId="1" fillId="0" borderId="0" xfId="3" applyAlignment="1">
      <x:alignment vertical="center"/>
    </x:xf>
    <x:xf numFmtId="0" fontId="1" fillId="0" borderId="0" xfId="3" applyAlignment="1">
      <x:alignment vertical="center"/>
    </x:xf>
    <x:xf numFmtId="0" fontId="14" fillId="9" borderId="15" xfId="3" applyFont="1" applyFill="1" applyBorder="1" applyAlignment="1">
      <x:alignment horizontal="center" vertical="center" wrapText="1"/>
    </x:xf>
    <x:xf numFmtId="0" fontId="15" fillId="10" borderId="15" xfId="3" applyFont="1" applyFill="1" applyBorder="1" applyAlignment="1">
      <x:alignment horizontal="center" vertical="center" wrapText="1"/>
    </x:xf>
    <x:xf numFmtId="0" fontId="16" fillId="11" borderId="15" xfId="3" applyFont="1" applyFill="1" applyBorder="1" applyAlignment="1">
      <x:alignment horizontal="center" vertical="center" wrapText="1"/>
    </x:xf>
    <x:xf numFmtId="0" fontId="16" fillId="12" borderId="15" xfId="3" applyFont="1" applyFill="1" applyBorder="1" applyAlignment="1">
      <x:alignment horizontal="center" vertical="center" wrapText="1"/>
    </x:xf>
    <x:xf numFmtId="0" fontId="17" fillId="13" borderId="15" xfId="3" applyFont="1" applyFill="1" applyBorder="1" applyAlignment="1">
      <x:alignment horizontal="center" vertical="center" wrapText="1"/>
    </x:xf>
    <x:xf numFmtId="0" fontId="17" fillId="14" borderId="15" xfId="3" applyFont="1" applyFill="1" applyBorder="1" applyAlignment="1">
      <x:alignment horizontal="center" vertical="center" wrapText="1"/>
    </x:xf>
    <x:xf numFmtId="0" fontId="18" fillId="0" borderId="0" xfId="3" applyFont="1"/>
    <x:xf numFmtId="0" fontId="14" fillId="9" borderId="15" xfId="3" applyFont="1" applyFill="1" applyBorder="1" applyAlignment="1">
      <x:alignment horizontal="left" vertical="center" wrapText="1"/>
    </x:xf>
    <x:xf numFmtId="0" fontId="19" fillId="11" borderId="15" xfId="3" applyFont="1" applyFill="1" applyBorder="1" applyAlignment="1">
      <x:alignment horizontal="center" vertical="center" wrapText="1"/>
    </x:xf>
    <x:xf numFmtId="0" fontId="20" fillId="0" borderId="15" xfId="3" applyFont="1" applyBorder="1" applyAlignment="1">
      <x:alignment horizontal="center" vertical="center" wrapText="1"/>
    </x:xf>
    <x:xf numFmtId="0" fontId="20" fillId="0" borderId="15" xfId="3" applyFont="1" applyBorder="1" applyAlignment="1">
      <x:alignment horizontal="left" vertical="center" wrapText="1"/>
    </x:xf>
    <x:xf numFmtId="0" fontId="19" fillId="12" borderId="15" xfId="3" applyFont="1" applyFill="1" applyBorder="1" applyAlignment="1">
      <x:alignment horizontal="center" vertical="center" wrapText="1"/>
    </x:xf>
    <x:xf numFmtId="0" fontId="15" fillId="13" borderId="15" xfId="3" applyFont="1" applyFill="1" applyBorder="1" applyAlignment="1">
      <x:alignment horizontal="center" vertical="center" wrapText="1"/>
    </x:xf>
    <x:xf numFmtId="0" fontId="15" fillId="14" borderId="15" xfId="3" applyFont="1" applyFill="1" applyBorder="1" applyAlignment="1">
      <x:alignment horizontal="center" vertical="center" wrapText="1"/>
    </x:xf>
    <x:xf numFmtId="0" fontId="15" fillId="15" borderId="15" xfId="3" applyFont="1" applyFill="1" applyBorder="1" applyAlignment="1">
      <x:alignment horizontal="center" vertical="center" wrapText="1"/>
    </x:xf>
    <x:xf numFmtId="0" fontId="14" fillId="11" borderId="15" xfId="3" applyFont="1" applyFill="1" applyBorder="1" applyAlignment="1">
      <x:alignment horizontal="center" vertical="center" wrapText="1"/>
    </x:xf>
    <x:xf numFmtId="0" fontId="14" fillId="12" borderId="15" xfId="3" applyFont="1" applyFill="1" applyBorder="1" applyAlignment="1">
      <x:alignment horizontal="center" vertical="center" wrapText="1"/>
    </x:xf>
    <x:xf numFmtId="0" fontId="21" fillId="13" borderId="15" xfId="3" applyFont="1" applyFill="1" applyBorder="1" applyAlignment="1">
      <x:alignment horizontal="center" vertical="center" wrapText="1"/>
    </x:xf>
    <x:xf numFmtId="0" fontId="21" fillId="14" borderId="15" xfId="3" applyFont="1" applyFill="1" applyBorder="1" applyAlignment="1">
      <x:alignment horizontal="center" vertical="center" wrapText="1"/>
    </x:xf>
    <x:xf numFmtId="0" fontId="23" fillId="0" borderId="0" xfId="0" applyFont="1">
      <x:alignment vertical="center"/>
    </x:xf>
    <x:xf numFmtId="0" fontId="6" fillId="5" borderId="16" xfId="1" applyFont="1" applyFill="1" applyBorder="1" applyAlignment="1">
      <x:alignment horizontal="center" vertical="center" wrapText="1"/>
    </x:xf>
    <x:xf numFmtId="0" fontId="7" fillId="6" borderId="18" xfId="0" applyFont="1" applyFill="1" applyBorder="1" applyAlignment="1">
      <x:alignment horizontal="left" vertical="center" wrapText="1"/>
    </x:xf>
    <x:xf numFmtId="0" fontId="6" fillId="5" borderId="19" xfId="1" applyFont="1" applyFill="1" applyBorder="1" applyAlignment="1">
      <x:alignment horizontal="center" vertical="center" wrapText="1"/>
    </x:xf>
    <x:xf numFmtId="0" fontId="6" fillId="5" borderId="20" xfId="1" applyFont="1" applyFill="1" applyBorder="1" applyAlignment="1">
      <x:alignment horizontal="center" vertical="center" wrapText="1"/>
    </x:xf>
    <x:xf numFmtId="0" fontId="7" fillId="0" borderId="21" xfId="0" applyFont="1" applyBorder="1" applyAlignment="1">
      <x:alignment horizontal="center" vertical="center" wrapText="1"/>
    </x:xf>
    <x:xf numFmtId="0" fontId="7" fillId="0" borderId="21" xfId="0" applyFont="1" applyBorder="1" applyAlignment="1">
      <x:alignment horizontal="center" vertical="center" wrapText="1"/>
    </x:xf>
    <x:xf numFmtId="164" fontId="7" fillId="0" borderId="21" xfId="0" applyNumberFormat="1" applyFont="1" applyBorder="1" applyAlignment="1">
      <x:alignment horizontal="center" vertical="center" wrapText="1"/>
    </x:xf>
    <x:xf numFmtId="14" fontId="7" fillId="6" borderId="21" xfId="0" applyNumberFormat="1" applyFont="1" applyFill="1" applyBorder="1" applyAlignment="1">
      <x:alignment horizontal="center" vertical="center" wrapText="1"/>
    </x:xf>
    <x:xf numFmtId="0" fontId="7" fillId="6" borderId="22" xfId="0" applyFont="1" applyFill="1" applyBorder="1" applyAlignment="1">
      <x:alignment vertical="center" wrapText="1"/>
    </x:xf>
    <x:xf numFmtId="0" fontId="1" fillId="0" borderId="0" xfId="0" applyFont="1">
      <x:alignment vertical="center"/>
    </x:xf>
    <x:xf numFmtId="0" fontId="7" fillId="0" borderId="17" xfId="0" applyFont="1" applyBorder="1" applyAlignment="1">
      <x:alignment horizontal="center" vertical="center" wrapText="1"/>
    </x:xf>
    <x:xf numFmtId="38" fontId="7" fillId="0" borderId="16" xfId="0" applyNumberFormat="1" applyFont="1" applyBorder="1" applyAlignment="1">
      <x:alignment horizontal="center" vertical="center" wrapText="1"/>
    </x:xf>
    <x:xf numFmtId="38" fontId="7" fillId="0" borderId="7" xfId="0" applyNumberFormat="1" applyFont="1" applyBorder="1" applyAlignment="1">
      <x:alignment horizontal="center" vertical="center" wrapText="1"/>
    </x:xf>
    <x:xf numFmtId="38" fontId="7" fillId="0" borderId="17" xfId="0" applyNumberFormat="1" applyFont="1" applyBorder="1" applyAlignment="1">
      <x:alignment horizontal="center" vertical="center" wrapText="1"/>
    </x:xf>
    <x:xf numFmtId="38" fontId="7" fillId="0" borderId="19" xfId="0" applyNumberFormat="1" applyFont="1" applyBorder="1" applyAlignment="1">
      <x:alignment horizontal="center" vertical="center" wrapText="1"/>
    </x:xf>
    <x:xf numFmtId="38" fontId="7" fillId="0" borderId="21" xfId="0" applyNumberFormat="1" applyFont="1" applyBorder="1" applyAlignment="1">
      <x:alignment horizontal="center" vertical="center" wrapText="1"/>
    </x:xf>
    <x:xf numFmtId="38" fontId="7" fillId="0" borderId="22" xfId="0" applyNumberFormat="1" applyFont="1" applyBorder="1" applyAlignment="1">
      <x:alignment horizontal="center" vertical="center" wrapText="1"/>
    </x:xf>
    <x:xf numFmtId="14" fontId="7" fillId="6" borderId="23" xfId="0" applyNumberFormat="1" applyFont="1" applyFill="1" applyBorder="1" applyAlignment="1">
      <x:alignment horizontal="center" vertical="center" wrapText="1"/>
    </x:xf>
    <x:xf numFmtId="14" fontId="7" fillId="6" borderId="24" xfId="0" applyNumberFormat="1" applyFont="1" applyFill="1" applyBorder="1" applyAlignment="1">
      <x:alignment horizontal="center" vertical="center" wrapText="1"/>
    </x:xf>
    <x:xf numFmtId="0" fontId="6" fillId="5" borderId="25" xfId="1" applyFont="1" applyFill="1" applyBorder="1" applyAlignment="1">
      <x:alignment horizontal="center" vertical="center" wrapText="1"/>
    </x:xf>
    <x:xf numFmtId="0" fontId="6" fillId="5" borderId="26" xfId="1" applyFont="1" applyFill="1" applyBorder="1" applyAlignment="1">
      <x:alignment horizontal="center" vertical="center" wrapText="1"/>
    </x:xf>
    <x:xf numFmtId="0" fontId="7" fillId="0" borderId="27" xfId="0" applyFont="1" applyBorder="1" applyAlignment="1">
      <x:alignment vertical="center" wrapText="1"/>
    </x:xf>
    <x:xf numFmtId="0" fontId="7" fillId="0" borderId="27" xfId="0" applyFont="1" applyBorder="1" applyAlignment="1">
      <x:alignment horizontal="center" vertical="center" wrapText="1"/>
    </x:xf>
    <x:xf numFmtId="164" fontId="7" fillId="0" borderId="27" xfId="0" applyNumberFormat="1" applyFont="1" applyBorder="1" applyAlignment="1">
      <x:alignment horizontal="center" vertical="center" wrapText="1"/>
    </x:xf>
    <x:xf numFmtId="14" fontId="7" fillId="6" borderId="27" xfId="0" applyNumberFormat="1" applyFont="1" applyFill="1" applyBorder="1" applyAlignment="1">
      <x:alignment horizontal="center" vertical="center" wrapText="1"/>
    </x:xf>
    <x:xf numFmtId="0" fontId="7" fillId="0" borderId="28" xfId="0" applyFont="1" applyBorder="1" applyAlignment="1">
      <x:alignment horizontal="center" vertical="center" wrapText="1"/>
    </x:xf>
    <x:xf numFmtId="38" fontId="7" fillId="0" borderId="25" xfId="0" applyNumberFormat="1" applyFont="1" applyBorder="1" applyAlignment="1">
      <x:alignment horizontal="center" vertical="center" wrapText="1"/>
    </x:xf>
    <x:xf numFmtId="38" fontId="7" fillId="0" borderId="27" xfId="0" applyNumberFormat="1" applyFont="1" applyBorder="1" applyAlignment="1">
      <x:alignment horizontal="center" vertical="center" wrapText="1"/>
    </x:xf>
    <x:xf numFmtId="38" fontId="7" fillId="0" borderId="28" xfId="0" applyNumberFormat="1" applyFont="1" applyBorder="1" applyAlignment="1">
      <x:alignment horizontal="center" vertical="center" wrapText="1"/>
    </x:xf>
    <x:xf numFmtId="0" fontId="3" fillId="3" borderId="29" xfId="1" applyFont="1" applyFill="1" applyBorder="1" applyAlignment="1">
      <x:alignment horizontal="center" vertical="center" wrapText="1"/>
    </x:xf>
    <x:xf numFmtId="0" fontId="3" fillId="3" borderId="30" xfId="1" applyFont="1" applyFill="1" applyBorder="1" applyAlignment="1">
      <x:alignment horizontal="center" vertical="center" wrapText="1"/>
    </x:xf>
    <x:xf numFmtId="0" fontId="5" fillId="4" borderId="31" xfId="0" applyFont="1" applyFill="1" applyBorder="1" applyAlignment="1">
      <x:alignment horizontal="center" vertical="center" wrapText="1"/>
    </x:xf>
    <x:xf numFmtId="0" fontId="12" fillId="4" borderId="31" xfId="0" applyFont="1" applyFill="1" applyBorder="1" applyAlignment="1">
      <x:alignment horizontal="center" vertical="center" wrapText="1"/>
    </x:xf>
    <x:xf numFmtId="0" fontId="5" fillId="4" borderId="32" xfId="0" applyFont="1" applyFill="1" applyBorder="1" applyAlignment="1">
      <x:alignment horizontal="center" vertical="center" wrapText="1"/>
    </x:xf>
    <x:xf numFmtId="0" fontId="12" fillId="4" borderId="29" xfId="0" applyFont="1" applyFill="1" applyBorder="1" applyAlignment="1">
      <x:alignment horizontal="center" vertical="center" wrapText="1"/>
    </x:xf>
    <x:xf numFmtId="0" fontId="12" fillId="4" borderId="32" xfId="0" applyFont="1" applyFill="1" applyBorder="1" applyAlignment="1">
      <x:alignment horizontal="center" vertical="center" wrapText="1"/>
    </x:xf>
    <x:xf numFmtId="0" fontId="24" fillId="16" borderId="26" xfId="1" applyFont="1" applyFill="1" applyBorder="1" applyAlignment="1">
      <x:alignment horizontal="center" vertical="center" wrapText="1"/>
    </x:xf>
    <x:xf numFmtId="0" fontId="24" fillId="16" borderId="12" xfId="1" applyFont="1" applyFill="1" applyBorder="1" applyAlignment="1">
      <x:alignment horizontal="center" vertical="center" wrapText="1"/>
    </x:xf>
    <x:xf numFmtId="0" fontId="6" fillId="16" borderId="20" xfId="1" applyFont="1" applyFill="1" applyBorder="1" applyAlignment="1">
      <x:alignment horizontal="center" vertical="center" wrapText="1"/>
    </x:xf>
    <x:xf numFmtId="0" fontId="25" fillId="3" borderId="30" xfId="4" applyFont="1" applyFill="1" applyBorder="1" applyAlignment="1">
      <x:alignment horizontal="center" vertical="center" wrapText="1"/>
    </x:xf>
    <x:xf numFmtId="200" fontId="7" fillId="0" borderId="27" xfId="0" applyNumberFormat="1" applyFont="1" applyFill="1" applyBorder="1" applyAlignment="1">
      <x:alignment horizontal="center" vertical="center" wrapText="1"/>
    </x:xf>
    <x:xf numFmtId="200" fontId="7" fillId="6" borderId="27" xfId="0" applyNumberFormat="1" applyFont="1" applyFill="1" applyBorder="1" applyAlignment="1">
      <x:alignment horizontal="center" vertical="center" wrapText="1"/>
    </x:xf>
    <x:xf numFmtId="200" fontId="7" fillId="0" borderId="14" xfId="0" applyNumberFormat="1" applyFont="1" applyFill="1" applyBorder="1" applyAlignment="1">
      <x:alignment horizontal="center" vertical="center" wrapText="1"/>
    </x:xf>
    <x:xf numFmtId="200" fontId="7" fillId="6" borderId="14" xfId="0" applyNumberFormat="1" applyFont="1" applyFill="1" applyBorder="1" applyAlignment="1">
      <x:alignment horizontal="center" vertical="center" wrapText="1"/>
    </x:xf>
    <x:xf numFmtId="200" fontId="7" fillId="0" borderId="21" xfId="0" applyNumberFormat="1" applyFont="1" applyFill="1" applyBorder="1" applyAlignment="1">
      <x:alignment horizontal="center" vertical="center" wrapText="1"/>
    </x:xf>
    <x:xf numFmtId="200" fontId="7" fillId="6" borderId="2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6" fillId="5" borderId="25" xfId="0" applyNumberFormat="1" applyFont="1" applyFill="1" applyBorder="1" applyAlignment="1">
      <x:alignment horizontal="center" vertical="center" wrapText="1"/>
    </x:xf>
    <x:xf numFmtId="0" fontId="6" fillId="5" borderId="26" xfId="0" applyNumberFormat="1" applyFont="1" applyFill="1" applyBorder="1" applyAlignment="1">
      <x:alignment horizontal="center" vertical="center" wrapText="1"/>
    </x:xf>
    <x:xf numFmtId="0" fontId="24" fillId="16" borderId="26" xfId="0" applyNumberFormat="1" applyFont="1" applyFill="1" applyBorder="1" applyAlignment="1">
      <x:alignment horizontal="center" vertical="center" wrapText="1"/>
    </x:xf>
    <x:xf numFmtId="0" fontId="7" fillId="0" borderId="27" xfId="0" applyNumberFormat="1" applyFont="1" applyFill="1" applyBorder="1" applyAlignment="1">
      <x:alignment vertical="center" wrapText="1"/>
    </x:xf>
    <x:xf numFmtId="0" fontId="7" fillId="0" borderId="27" xfId="0" applyNumberFormat="1" applyFont="1" applyFill="1" applyBorder="1" applyAlignment="1">
      <x:alignment horizontal="center" vertical="center" wrapText="1"/>
    </x:xf>
    <x:xf numFmtId="0" fontId="7" fillId="0" borderId="28" xfId="0" applyNumberFormat="1" applyFont="1" applyFill="1" applyBorder="1" applyAlignment="1">
      <x:alignment horizontal="center" vertical="center" wrapText="1"/>
    </x:xf>
    <x:xf numFmtId="38" fontId="7" fillId="0" borderId="25" xfId="0" applyNumberFormat="1" applyFont="1" applyFill="1" applyBorder="1" applyAlignment="1">
      <x:alignment horizontal="center" vertical="center" wrapText="1"/>
    </x:xf>
    <x:xf numFmtId="38" fontId="7" fillId="0" borderId="27" xfId="0" applyNumberFormat="1" applyFont="1" applyFill="1" applyBorder="1" applyAlignment="1">
      <x:alignment horizontal="center" vertical="center" wrapText="1"/>
    </x:xf>
    <x:xf numFmtId="38" fontId="7" fillId="0" borderId="28" xfId="0" applyNumberFormat="1" applyFont="1" applyFill="1" applyBorder="1" applyAlignment="1">
      <x:alignment horizontal="center" vertical="center"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0" fontId="6" fillId="5" borderId="13" xfId="0" applyNumberFormat="1" applyFont="1" applyFill="1" applyBorder="1" applyAlignment="1">
      <x:alignment horizontal="center" vertical="center" wrapText="1"/>
    </x:xf>
    <x:xf numFmtId="0" fontId="7" fillId="0" borderId="14" xfId="0" applyNumberFormat="1" applyFont="1" applyFill="1" applyBorder="1" applyAlignment="1">
      <x:alignment horizontal="center" vertical="center" wrapText="1"/>
    </x:xf>
    <x:xf numFmtId="0" fontId="7" fillId="0" borderId="7" xfId="0" applyNumberFormat="1" applyFont="1" applyFill="1" applyBorder="1" applyAlignment="1">
      <x:alignment horizontal="center" vertical="center" wrapText="1"/>
    </x:xf>
    <x:xf numFmtId="0" fontId="7" fillId="0" borderId="17" xfId="0" applyNumberFormat="1" applyFont="1" applyFill="1" applyBorder="1" applyAlignment="1">
      <x:alignment horizontal="center" vertical="center" wrapText="1"/>
    </x:xf>
    <x:xf numFmtId="38" fontId="7" fillId="0" borderId="16" xfId="0" applyNumberFormat="1" applyFont="1" applyFill="1" applyBorder="1" applyAlignment="1">
      <x:alignment horizontal="center" vertical="center" wrapText="1"/>
    </x:xf>
    <x:xf numFmtId="38" fontId="7" fillId="0" borderId="7" xfId="0" applyNumberFormat="1" applyFont="1" applyFill="1" applyBorder="1" applyAlignment="1">
      <x:alignment horizontal="center" vertical="center" wrapText="1"/>
    </x:xf>
    <x:xf numFmtId="38" fontId="7" fillId="0" borderId="17" xfId="0" applyNumberFormat="1" applyFont="1" applyFill="1" applyBorder="1" applyAlignment="1">
      <x:alignment horizontal="center" vertical="center" wrapText="1"/>
    </x:xf>
    <x:xf numFmtId="0" fontId="7" fillId="6" borderId="18" xfId="0" applyNumberFormat="1" applyFont="1" applyFill="1" applyBorder="1" applyAlignment="1">
      <x:alignment horizontal="left" vertical="center" wrapText="1"/>
    </x:xf>
    <x:xf numFmtId="0" fontId="24" fillId="16" borderId="12" xfId="0" applyNumberFormat="1" applyFont="1" applyFill="1" applyBorder="1" applyAlignment="1">
      <x:alignment horizontal="center" vertical="center" wrapText="1"/>
    </x:xf>
    <x:xf numFmtId="0" fontId="6" fillId="5" borderId="19" xfId="0" applyNumberFormat="1" applyFont="1" applyFill="1" applyBorder="1" applyAlignment="1">
      <x:alignment horizontal="center" vertical="center" wrapText="1"/>
    </x:xf>
    <x:xf numFmtId="0" fontId="6" fillId="5" borderId="20" xfId="0" applyNumberFormat="1" applyFont="1" applyFill="1" applyBorder="1" applyAlignment="1">
      <x:alignment horizontal="center" vertical="center" wrapText="1"/>
    </x:xf>
    <x:xf numFmtId="0" fontId="6" fillId="16" borderId="20" xfId="0" applyNumberFormat="1" applyFont="1" applyFill="1" applyBorder="1" applyAlignment="1">
      <x:alignment horizontal="center" vertical="center" wrapText="1"/>
    </x:xf>
    <x:xf numFmtId="0" fontId="7" fillId="0" borderId="21" xfId="0" applyNumberFormat="1" applyFont="1" applyFill="1" applyBorder="1" applyAlignment="1">
      <x:alignment horizontal="center" vertical="center" wrapText="1"/>
    </x:xf>
    <x:xf numFmtId="0" fontId="7" fillId="6" borderId="22" xfId="0" applyNumberFormat="1" applyFont="1" applyFill="1" applyBorder="1" applyAlignment="1">
      <x:alignment vertical="center" wrapText="1"/>
    </x:xf>
    <x:xf numFmtId="38" fontId="7" fillId="0" borderId="19" xfId="0" applyNumberFormat="1" applyFont="1" applyFill="1" applyBorder="1" applyAlignment="1">
      <x:alignment horizontal="center" vertical="center" wrapText="1"/>
    </x:xf>
    <x:xf numFmtId="38" fontId="7" fillId="0" borderId="21" xfId="0" applyNumberFormat="1" applyFont="1" applyFill="1" applyBorder="1" applyAlignment="1">
      <x:alignment horizontal="center" vertical="center" wrapText="1"/>
    </x:xf>
    <x:xf numFmtId="38" fontId="7" fillId="0" borderId="2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6" fillId="5" borderId="33" xfId="0" applyNumberFormat="1" applyFont="1" applyFill="1" applyBorder="1" applyAlignment="1">
      <x:alignment horizontal="center" vertical="center" wrapText="1"/>
    </x:xf>
    <x:xf numFmtId="0" fontId="6" fillId="5" borderId="34" xfId="0" applyNumberFormat="1" applyFont="1" applyFill="1" applyBorder="1" applyAlignment="1">
      <x:alignment horizontal="center" vertical="center" wrapText="1"/>
    </x:xf>
    <x:xf numFmtId="0" fontId="24" fillId="16" borderId="34" xfId="0" applyNumberFormat="1" applyFont="1" applyFill="1" applyBorder="1" applyAlignment="1">
      <x:alignment horizontal="center" vertical="center" wrapText="1"/>
    </x:xf>
    <x:xf numFmtId="0" fontId="7" fillId="0" borderId="34" xfId="0" applyNumberFormat="1" applyFont="1" applyFill="1" applyBorder="1" applyAlignment="1">
      <x:alignment vertical="center" wrapText="1"/>
    </x:xf>
    <x:xf numFmtId="0" fontId="7" fillId="0" borderId="34" xfId="0" applyNumberFormat="1" applyFont="1" applyFill="1" applyBorder="1" applyAlignment="1">
      <x:alignment horizontal="center" vertical="center" wrapText="1"/>
    </x:xf>
    <x:xf numFmtId="200" fontId="7" fillId="0" borderId="34" xfId="0" applyNumberFormat="1" applyFont="1" applyFill="1" applyBorder="1" applyAlignment="1">
      <x:alignment horizontal="center" vertical="center" wrapText="1"/>
    </x:xf>
    <x:xf numFmtId="200" fontId="7" fillId="6" borderId="34" xfId="0" applyNumberFormat="1" applyFont="1" applyFill="1" applyBorder="1" applyAlignment="1">
      <x:alignment horizontal="center" vertical="center" wrapText="1"/>
    </x:xf>
    <x:xf numFmtId="38" fontId="7" fillId="0" borderId="34" xfId="0" applyNumberFormat="1" applyFont="1" applyFill="1" applyBorder="1" applyAlignment="1">
      <x:alignment horizontal="center" vertical="center" wrapText="1"/>
    </x:xf>
    <x:xf numFmtId="38" fontId="7" fillId="0" borderId="35" xfId="0" applyNumberFormat="1" applyFont="1" applyFill="1" applyBorder="1" applyAlignment="1">
      <x:alignment horizontal="center" vertical="center" wrapText="1"/>
    </x:xf>
    <x:xf numFmtId="0" fontId="6" fillId="5" borderId="36" xfId="0" applyNumberFormat="1" applyFont="1" applyFill="1" applyBorder="1" applyAlignment="1">
      <x:alignment horizontal="center" vertical="center" wrapText="1"/>
    </x:xf>
    <x:xf numFmtId="0" fontId="6" fillId="5" borderId="37" xfId="0" applyNumberFormat="1" applyFont="1" applyFill="1" applyBorder="1" applyAlignment="1">
      <x:alignment horizontal="center" vertical="center" wrapText="1"/>
    </x:xf>
    <x:xf numFmtId="0" fontId="24" fillId="16" borderId="37" xfId="0" applyNumberFormat="1" applyFont="1" applyFill="1" applyBorder="1" applyAlignment="1">
      <x:alignment horizontal="center" vertical="center" wrapText="1"/>
    </x:xf>
    <x:xf numFmtId="0" fontId="7" fillId="0" borderId="37" xfId="0" applyNumberFormat="1" applyFont="1" applyFill="1" applyBorder="1" applyAlignment="1">
      <x:alignment horizontal="center" vertical="center" wrapText="1"/>
    </x:xf>
    <x:xf numFmtId="200" fontId="7" fillId="0" borderId="37" xfId="0" applyNumberFormat="1" applyFont="1" applyFill="1" applyBorder="1" applyAlignment="1">
      <x:alignment horizontal="center" vertical="center" wrapText="1"/>
    </x:xf>
    <x:xf numFmtId="200" fontId="7" fillId="6" borderId="37" xfId="0" applyNumberFormat="1" applyFont="1" applyFill="1" applyBorder="1" applyAlignment="1">
      <x:alignment horizontal="center" vertical="center" wrapText="1"/>
    </x:xf>
    <x:xf numFmtId="38" fontId="7" fillId="0" borderId="37" xfId="0" applyNumberFormat="1" applyFont="1" applyFill="1" applyBorder="1" applyAlignment="1">
      <x:alignment horizontal="center" vertical="center" wrapText="1"/>
    </x:xf>
    <x:xf numFmtId="38" fontId="7" fillId="0" borderId="38" xfId="0" applyNumberFormat="1" applyFont="1" applyFill="1" applyBorder="1" applyAlignment="1">
      <x:alignment horizontal="center" vertical="center" wrapText="1"/>
    </x:xf>
    <x:xf numFmtId="14" fontId="7" fillId="6" borderId="37" xfId="0" applyNumberFormat="1" applyFont="1" applyFill="1" applyBorder="1" applyAlignment="1">
      <x:alignment horizontal="center" vertical="center" wrapText="1"/>
    </x:xf>
    <x:xf numFmtId="0" fontId="7" fillId="6" borderId="37" xfId="0" applyNumberFormat="1" applyFont="1" applyFill="1" applyBorder="1" applyAlignment="1">
      <x:alignment horizontal="left" vertical="center" wrapText="1"/>
    </x:xf>
    <x:xf numFmtId="0" fontId="6" fillId="16" borderId="37" xfId="0" applyNumberFormat="1" applyFont="1" applyFill="1" applyBorder="1" applyAlignment="1">
      <x:alignment horizontal="center" vertical="center" wrapText="1"/>
    </x:xf>
    <x:xf numFmtId="0" fontId="7" fillId="6" borderId="37" xfId="0" applyNumberFormat="1" applyFont="1" applyFill="1" applyBorder="1" applyAlignment="1">
      <x:alignment vertical="center" wrapText="1"/>
    </x:xf>
    <x:xf numFmtId="0" fontId="0" fillId="0" borderId="36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200" fontId="0" fillId="0" borderId="37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0" fillId="0" borderId="39" xfId="0" applyNumberFormat="1" applyFont="1" applyFill="1" applyBorder="1" applyAlignment="1">
      <x:alignment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200" fontId="0" fillId="0" borderId="40" xfId="0" applyNumberFormat="1" applyFont="1" applyFill="1" applyBorder="1" applyAlignment="1">
      <x:alignment vertical="center" wrapText="1"/>
    </x:xf>
    <x:xf numFmtId="0" fontId="0" fillId="0" borderId="41" xfId="0" applyNumberFormat="1" applyFont="1" applyFill="1" applyBorder="1" applyAlignment="1">
      <x:alignment vertical="center" wrapText="1"/>
    </x:xf>
    <x:xf numFmtId="0" fontId="0" fillId="0" borderId="36" xfId="0" applyNumberFormat="1" applyFont="1" applyFill="1" applyBorder="1" applyAlignment="1">
      <x:alignment horizontal="center" vertical="center" wrapText="1"/>
    </x:xf>
    <x:xf numFmtId="0" fontId="0" fillId="0" borderId="39" xfId="0" applyNumberFormat="1" applyFont="1" applyFill="1" applyBorder="1" applyAlignment="1">
      <x:alignment horizontal="center" vertical="center" wrapText="1"/>
    </x:xf>
    <x:xf numFmtId="0" fontId="0" fillId="0" borderId="37" xfId="0" applyNumberFormat="1" applyFont="1" applyFill="1" applyBorder="1" applyAlignment="1">
      <x:alignment horizontal="center" vertical="center" wrapText="1"/>
    </x:xf>
    <x:xf numFmtId="0" fontId="0" fillId="0" borderId="40" xfId="0" applyNumberFormat="1" applyFont="1" applyFill="1" applyBorder="1" applyAlignment="1">
      <x:alignment horizontal="center" vertical="center" wrapText="1"/>
    </x:xf>
    <x:xf numFmtId="200" fontId="0" fillId="0" borderId="37" xfId="0" applyNumberFormat="1" applyFont="1" applyFill="1" applyBorder="1" applyAlignment="1">
      <x:alignment horizontal="center" vertical="center" wrapText="1"/>
    </x:xf>
    <x:xf numFmtId="200" fontId="0" fillId="0" borderId="40" xfId="0" applyNumberFormat="1" applyFont="1" applyFill="1" applyBorder="1" applyAlignment="1">
      <x:alignment horizontal="center" vertical="center" wrapText="1"/>
    </x:xf>
    <x:xf numFmtId="0" fontId="0" fillId="0" borderId="38" xfId="0" applyNumberFormat="1" applyFont="1" applyFill="1" applyBorder="1" applyAlignment="1">
      <x:alignment horizontal="center" vertical="center" wrapText="1"/>
    </x:xf>
    <x:xf numFmtId="0" fontId="0" fillId="0" borderId="41" xfId="0" applyNumberFormat="1" applyFont="1" applyFill="1" applyBorder="1" applyAlignment="1">
      <x:alignment horizontal="center" vertical="center" wrapText="1"/>
    </x:xf>
    <x:xf numFmtId="200" fontId="7" fillId="0" borderId="7" xfId="0" applyNumberFormat="1" applyFont="1" applyFill="1" applyBorder="1" applyAlignment="1">
      <x:alignment horizontal="center" vertical="center" wrapText="1"/>
    </x:xf>
    <x:xf numFmtId="200" fontId="7" fillId="0" borderId="10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7" fillId="0" borderId="10" xfId="0" applyNumberFormat="1" applyFont="1" applyFill="1" applyBorder="1" applyAlignment="1">
      <x:alignment horizontal="center" vertical="center" wrapText="1"/>
    </x:xf>
    <x:xf numFmtId="0" fontId="6" fillId="5" borderId="42" xfId="0" applyNumberFormat="1" applyFont="1" applyFill="1" applyBorder="1" applyAlignment="1">
      <x:alignment horizontal="center" vertical="center" wrapText="1"/>
    </x:xf>
    <x:xf numFmtId="0" fontId="7" fillId="0" borderId="43" xfId="0" applyNumberFormat="1" applyFont="1" applyFill="1" applyBorder="1" applyAlignment="1">
      <x:alignment horizontal="center" vertical="center" wrapText="1"/>
    </x:xf>
    <x:xf numFmtId="0" fontId="0" fillId="0" borderId="43" xfId="0" applyNumberFormat="1" applyFont="1" applyFill="1" applyBorder="1" applyAlignment="1">
      <x:alignment horizontal="center" vertical="center" wrapText="1"/>
    </x:xf>
    <x:xf numFmtId="200" fontId="7" fillId="0" borderId="43" xfId="0" applyNumberFormat="1" applyFont="1" applyFill="1" applyBorder="1" applyAlignment="1">
      <x:alignment horizontal="center" vertical="center" wrapText="1"/>
    </x:xf>
    <x:xf numFmtId="14" fontId="7" fillId="6" borderId="44" xfId="0" applyNumberFormat="1" applyFont="1" applyFill="1" applyBorder="1" applyAlignment="1">
      <x:alignment horizontal="center" vertical="center" wrapText="1"/>
    </x:xf>
    <x:xf numFmtId="0" fontId="6" fillId="5" borderId="45" xfId="0" applyNumberFormat="1" applyFont="1" applyFill="1" applyBorder="1" applyAlignment="1">
      <x:alignment horizontal="center" vertical="center" wrapText="1"/>
    </x:xf>
    <x:xf numFmtId="14" fontId="7" fillId="6" borderId="38" xfId="0" applyNumberFormat="1" applyFont="1" applyFill="1" applyBorder="1" applyAlignment="1">
      <x:alignment horizontal="center"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0" borderId="46" xfId="0" applyNumberFormat="1" applyFont="1" applyFill="1" applyBorder="1" applyAlignment="1">
      <x:alignment vertical="center" wrapText="1"/>
    </x:xf>
    <x:xf numFmtId="0" fontId="0" fillId="0" borderId="45" xfId="0" applyNumberFormat="1" applyFont="1" applyFill="1" applyBorder="1" applyAlignment="1">
      <x:alignment horizontal="center" vertical="center" wrapText="1"/>
    </x:xf>
    <x:xf numFmtId="0" fontId="0" fillId="0" borderId="46" xfId="0" applyNumberFormat="1" applyFont="1" applyFill="1" applyBorder="1" applyAlignment="1">
      <x:alignment horizontal="center" vertical="center" wrapText="1"/>
    </x:xf>
    <x:xf numFmtId="200" fontId="7" fillId="6" borderId="44" xfId="0" applyNumberFormat="1" applyFont="1" applyFill="1" applyBorder="1" applyAlignment="1">
      <x:alignment horizontal="center" vertical="center" wrapText="1"/>
    </x:xf>
    <x:xf numFmtId="200" fontId="7" fillId="6" borderId="38" xfId="0" applyNumberFormat="1" applyFont="1" applyFill="1" applyBorder="1" applyAlignment="1">
      <x:alignment horizontal="center" vertical="center" wrapText="1"/>
    </x:xf>
    <x:xf numFmtId="200" fontId="0" fillId="0" borderId="38" xfId="0" applyNumberFormat="1" applyFont="1" applyFill="1" applyBorder="1" applyAlignment="1">
      <x:alignment vertical="center" wrapText="1"/>
    </x:xf>
    <x:xf numFmtId="200" fontId="0" fillId="0" borderId="41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horizontal="left" vertical="center" wrapText="1"/>
    </x:xf>
    <x:xf numFmtId="0" fontId="7" fillId="6" borderId="10" xfId="0" applyNumberFormat="1" applyFont="1" applyFill="1" applyBorder="1" applyAlignment="1">
      <x:alignment horizontal="left" vertical="center" wrapText="1"/>
    </x:xf>
    <x:xf numFmtId="200" fontId="7" fillId="6" borderId="43" xfId="0" applyNumberFormat="1" applyFont="1" applyFill="1" applyBorder="1" applyAlignment="1">
      <x:alignment horizontal="center" vertical="center" wrapText="1"/>
    </x:xf>
    <x:xf numFmtId="0" fontId="7" fillId="6" borderId="43" xfId="0" applyNumberFormat="1" applyFont="1" applyFill="1" applyBorder="1" applyAlignment="1">
      <x:alignment horizontal="left" vertical="center" wrapText="1"/>
    </x:xf>
  </x:cellXfs>
  <x:cellStyles count="5">
    <x:cellStyle name="Hyperlink" xfId="4"/>
    <x:cellStyle name="Normal" xfId="0"/>
    <x:cellStyle name="Normal 2" xfId="3"/>
    <x:cellStyle name="常规 2" xfId="1"/>
    <x:cellStyle name="常规 2 4" xfId="2"/>
  </x:cellStyles>
  <x:dxfs count="3">
    <x:dxf>
      <x:font>
        <x:color theme="0"/>
      </x:font>
    </x:dxf>
    <x:dxf>
      <x:font>
        <x:color theme="8" tint="-0.24995"/>
      </x:font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ea35d4e5d14e82" /><Relationship Type="http://schemas.openxmlformats.org/officeDocument/2006/relationships/theme" Target="/xl/theme/theme1.xml" Id="R90275e6e7ac241a7" /><Relationship Type="http://schemas.openxmlformats.org/officeDocument/2006/relationships/sheetMetadata" Target="/xl/metadata1.xml" Id="R0615efc519a04cd4" /><Relationship Type="http://schemas.openxmlformats.org/officeDocument/2006/relationships/sharedStrings" Target="/xl/sharedStrings.xml" Id="Ra20971a4c6564eda" /><Relationship Type="http://schemas.openxmlformats.org/officeDocument/2006/relationships/worksheet" Target="/xl/worksheets/sheet1.xml" Id="R72c19afac0564c2f" /><Relationship Type="http://schemas.openxmlformats.org/officeDocument/2006/relationships/worksheet" Target="/xl/worksheets/sheet2.xml" Id="R9a544674583542a3" /><Relationship Type="http://schemas.openxmlformats.org/officeDocument/2006/relationships/worksheet" Target="/xl/worksheets/sheet3.xml" Id="R178e943f3f8f4c9a" /><Relationship Type="http://schemas.openxmlformats.org/officeDocument/2006/relationships/worksheet" Target="/xl/worksheets/sheet4.xml" Id="Rb05c7eb8b67e4aaa" /><Relationship Type="http://schemas.openxmlformats.org/officeDocument/2006/relationships/worksheet" Target="/xl/worksheets/sheet5.xml" Id="R573bfcd96c5d4e43" /><Relationship Type="http://schemas.openxmlformats.org/officeDocument/2006/relationships/worksheet" Target="/xl/worksheets/sheet6.xml" Id="Re514a597929641f5" /><Relationship Type="http://schemas.openxmlformats.org/officeDocument/2006/relationships/worksheet" Target="/xl/worksheets/sheet7.xml" Id="Rd0f401c8024b43f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3" max="3" width="15.77734375" customWidth="1"/>
    <x:col min="4" max="6" width="15.88671875" customWidth="1"/>
    <x:col min="7" max="7" width="15.5546875" customWidth="1"/>
    <x:col min="8" max="8" width="38.21875" customWidth="1"/>
    <x:col min="9" max="9" width="22.33203125" customWidth="1"/>
    <x:col min="10" max="10" width="24.88671875" customWidth="1"/>
    <x:col min="11" max="11" width="11.21875" customWidth="1"/>
    <x:col min="12" max="12" width="13.21875" customWidth="1"/>
    <x:col min="13" max="13" width="14.6640625" customWidth="1"/>
    <x:col min="14" max="14" width="13.21875" customWidth="1"/>
    <x:col min="15" max="16" width="18.33203125" customWidth="1"/>
    <x:col min="17" max="17" width="16.6640625" customWidth="1"/>
    <x:col min="18" max="18" width="20.33203125" customWidth="1"/>
    <x:col min="19" max="19" width="26.44140625" customWidth="1"/>
    <x:col min="20" max="20" width="23.109375" customWidth="1"/>
    <x:col min="21" max="21" width="16.109375" customWidth="1"/>
    <x:col min="22" max="22" width="15.21875" customWidth="1"/>
    <x:col min="23" max="23" width="15.44140625" customWidth="1"/>
  </x:cols>
  <x:sheetData>
    <x:row r="1" ht="36.599998474121094">
      <x:c r="A1" s="87" t="s">
        <x:v>0</x:v>
      </x:c>
      <x:c r="B1" s="88" t="s">
        <x:v>1</x:v>
      </x:c>
      <x:c r="C1" s="88" t="s">
        <x:v>2</x:v>
      </x:c>
      <x:c r="D1" s="88" t="s">
        <x:v>3</x:v>
      </x:c>
      <x:c r="E1" s="97" t="s">
        <x:v>4</x:v>
      </x:c>
      <x:c r="F1" s="97" t="s">
        <x:v>5</x:v>
      </x:c>
      <x:c r="G1" s="97" t="s">
        <x:v>6</x:v>
      </x:c>
      <x:c r="H1" s="90" t="s">
        <x:v>7</x:v>
      </x:c>
      <x:c r="I1" s="89" t="s">
        <x:v>8</x:v>
      </x:c>
      <x:c r="J1" s="89" t="s">
        <x:v>9</x:v>
      </x:c>
      <x:c r="K1" s="89" t="s">
        <x:v>10</x:v>
      </x:c>
      <x:c r="L1" s="89" t="s">
        <x:v>11</x:v>
      </x:c>
      <x:c r="M1" s="89" t="s">
        <x:v>12</x:v>
      </x:c>
      <x:c r="N1" s="89" t="s">
        <x:v>13</x:v>
      </x:c>
      <x:c r="O1" s="90" t="s">
        <x:v>14</x:v>
      </x:c>
      <x:c r="P1" s="90" t="s">
        <x:v>15</x:v>
      </x:c>
      <x:c r="Q1" s="90" t="s">
        <x:v>16</x:v>
      </x:c>
      <x:c r="R1" s="89" t="s">
        <x:v>17</x:v>
      </x:c>
      <x:c r="S1" s="89" t="s">
        <x:v>18</x:v>
      </x:c>
      <x:c r="T1" s="91" t="s">
        <x:v>19</x:v>
      </x:c>
      <x:c r="U1" s="92" t="s">
        <x:v>20</x:v>
      </x:c>
      <x:c r="V1" s="90" t="s">
        <x:v>21</x:v>
      </x:c>
      <x:c r="W1" s="93" t="s">
        <x:v>22</x:v>
      </x:c>
    </x:row>
    <x:row r="2" ht="36" customHeight="1">
      <x:c r="A2" s="134" t="n">
        <x:v>1</x:v>
      </x:c>
      <x:c r="B2" s="135" t="str">
        <x:v>05-Project</x:v>
      </x:c>
      <x:c r="C2" s="135" t="str">
        <x:v>01-MES</x:v>
      </x:c>
      <x:c r="D2" s="135" t="str">
        <x:v>A01-All</x:v>
      </x:c>
      <x:c r="E2" s="135" t="str">
        <x:v>10-高</x:v>
      </x:c>
      <x:c r="F2" s="135" t="str">
        <x:v>20-中</x:v>
      </x:c>
      <x:c r="G2" s="136" t="str" cm="1">
        <x:f t="array" ref="G2"/>
        <x:v>P1</x:v>
      </x:c>
      <x:c r="H2" s="137" t="str">
        <x:v>MES诸暨2厂一期上线统筹</x:v>
      </x:c>
      <x:c r="I2" s="137" t="str">
        <x:v>统筹生产、质量、仓储接口与主数据切换窗口，需确保上线前关键缺陷闭环。</x:v>
      </x:c>
      <x:c r="J2" s="135" t="str">
        <x:v>03-诸暨2厂</x:v>
      </x:c>
      <x:c r="K2" s="137" t="str">
        <x:v>IT管理部</x:v>
      </x:c>
      <x:c r="L2" s="138" t="str">
        <x:v>曹云峰</x:v>
      </x:c>
      <x:c r="M2" s="139" t="n">
        <x:v>46237</x:v>
      </x:c>
      <x:c r="N2" s="139" t="str">
        <x:v>曹云峰</x:v>
      </x:c>
      <x:c r="O2" s="139" t="str">
        <x:v>41-处理</x:v>
      </x:c>
      <x:c r="P2" s="140" t="n">
        <x:v>46237</x:v>
      </x:c>
      <x:c r="Q2" s="140" t="n">
        <x:v>46260</x:v>
      </x:c>
      <x:c r="R2" s="140"/>
      <x:c r="S2" s="138" t="str">
        <x:v>已完成上线前例会与风险清单评审，待最终割接确认。</x:v>
      </x:c>
      <x:c r="T2" s="138" t="str">
        <x:v>示例数据：用于 IT管理部工作台 V1 演示，不代表真实生产、项目或服务状态。</x:v>
      </x:c>
      <x:c r="U2" s="141" t="n">
        <x:v>0</x:v>
      </x:c>
      <x:c r="V2" s="141"/>
      <x:c r="W2" s="141"/>
    </x:row>
    <x:row r="3" ht="36" customHeight="1">
      <x:c r="A3" s="143" t="n">
        <x:f t="shared" ref="A3:A22" si="0">ROW()-1</x:f>
        <x:v>2</x:v>
      </x:c>
      <x:c r="B3" s="144" t="str">
        <x:v>05-Project</x:v>
      </x:c>
      <x:c r="C3" s="144" t="str">
        <x:v>02-U9C</x:v>
      </x:c>
      <x:c r="D3" s="144" t="str">
        <x:v>A01-All</x:v>
      </x:c>
      <x:c r="E3" s="144" t="str">
        <x:v>10-高</x:v>
      </x:c>
      <x:c r="F3" s="144" t="str">
        <x:v>20-中</x:v>
      </x:c>
      <x:c r="G3" s="145" t="str" cm="1">
        <x:f t="array" ref="G3"/>
        <x:v>P1</x:v>
      </x:c>
      <x:c r="H3" s="146" t="str">
        <x:v>ERP U9C财务供应链上线治理</x:v>
      </x:c>
      <x:c r="I3" s="146" t="str">
        <x:v>财务、采购与仓储模块需统一切换节奏，建立关键事项升级机制。</x:v>
      </x:c>
      <x:c r="J3" s="144" t="str">
        <x:v>01-集团</x:v>
      </x:c>
      <x:c r="K3" s="146" t="str">
        <x:v>财务中心</x:v>
      </x:c>
      <x:c r="L3" s="146" t="str">
        <x:v>曹云峰</x:v>
      </x:c>
      <x:c r="M3" s="147" t="n">
        <x:v>46239</x:v>
      </x:c>
      <x:c r="N3" s="147" t="str">
        <x:v>曹云峰</x:v>
      </x:c>
      <x:c r="O3" s="147" t="str">
        <x:v>31-评估</x:v>
      </x:c>
      <x:c r="P3" s="147" t="n">
        <x:v>46240</x:v>
      </x:c>
      <x:c r="Q3" s="147" t="n">
        <x:v>46273</x:v>
      </x:c>
      <x:c r="R3" s="148"/>
      <x:c r="S3" s="146" t="str">
        <x:v>已确定周例会与问题升级路径，待确认各工厂切换批次。</x:v>
      </x:c>
      <x:c r="T3" s="146" t="str">
        <x:v>示例数据：用于 IT管理部工作台 V1 演示，不代表真实生产、项目或服务状态。</x:v>
      </x:c>
      <x:c r="U3" s="149" t="n">
        <x:f t="shared" ref="U3:U22" si="1">P3-M3</x:f>
        <x:v>1</x:v>
      </x:c>
      <x:c r="V3" s="149" t="n">
        <x:f t="shared" ref="V3:V22" si="2">Q3-R3</x:f>
        <x:v>46273</x:v>
      </x:c>
      <x:c r="W3" s="149" t="n">
        <x:f t="shared" ref="W3:W22" si="3">R3-M3</x:f>
        <x:v>-46239</x:v>
      </x:c>
    </x:row>
    <x:row r="4" ht="36" customHeight="1">
      <x:c r="A4" s="143" t="n">
        <x:f t="shared" si="0"/>
        <x:v>3</x:v>
      </x:c>
      <x:c r="B4" s="144" t="str">
        <x:v>03-Problem</x:v>
      </x:c>
      <x:c r="C4" s="144" t="str">
        <x:v>09-Network</x:v>
      </x:c>
      <x:c r="D4" s="144" t="str">
        <x:v>A01-All</x:v>
      </x:c>
      <x:c r="E4" s="144" t="str">
        <x:v>20-中</x:v>
      </x:c>
      <x:c r="F4" s="144" t="str">
        <x:v>20-中</x:v>
      </x:c>
      <x:c r="G4" s="145" t="str" cm="1">
        <x:f t="array" ref="G4"/>
        <x:v>P2</x:v>
      </x:c>
      <x:c r="H4" s="146" t="str">
        <x:v>多工厂网络链路容量风险评审</x:v>
      </x:c>
      <x:c r="I4" s="146" t="str">
        <x:v>MES与ERP上线后数据同步流量上升，需要评估跨厂专线冗余与带宽。</x:v>
      </x:c>
      <x:c r="J4" s="144" t="str">
        <x:v>01-集团</x:v>
      </x:c>
      <x:c r="K4" s="146" t="str">
        <x:v>制造运营中心</x:v>
      </x:c>
      <x:c r="L4" s="146" t="str">
        <x:v>曹云峰</x:v>
      </x:c>
      <x:c r="M4" s="147" t="n">
        <x:v>46242</x:v>
      </x:c>
      <x:c r="N4" s="147" t="str">
        <x:v>曹云峰</x:v>
      </x:c>
      <x:c r="O4" s="147" t="str">
        <x:v>21-接受</x:v>
      </x:c>
      <x:c r="P4" s="147" t="n">
        <x:v>46242</x:v>
      </x:c>
      <x:c r="Q4" s="147" t="n">
        <x:v>46268</x:v>
      </x:c>
      <x:c r="R4" s="148"/>
      <x:c r="S4" s="146" t="str">
        <x:v>已接受评审事项，等待网络现状测量报告。</x:v>
      </x:c>
      <x:c r="T4" s="146" t="str">
        <x:v>示例数据：用于 IT管理部工作台 V1 演示，不代表真实生产、项目或服务状态。</x:v>
      </x:c>
      <x:c r="U4" s="149" t="n">
        <x:f t="shared" si="1"/>
        <x:v>0</x:v>
      </x:c>
      <x:c r="V4" s="149">
        <x:f t="shared" si="2"/>
      </x:c>
      <x:c r="W4" s="149">
        <x:f t="shared" si="3"/>
      </x:c>
    </x:row>
    <x:row r="5" ht="36" customHeight="1">
      <x:c r="A5" s="143" t="n">
        <x:f t="shared" si="0"/>
        <x:v>4</x:v>
      </x:c>
      <x:c r="B5" s="144" t="str">
        <x:v>04-Request</x:v>
      </x:c>
      <x:c r="C5" s="144" t="str">
        <x:v>05-Security</x:v>
      </x:c>
      <x:c r="D5" s="144" t="str">
        <x:v>A01-All</x:v>
      </x:c>
      <x:c r="E5" s="144" t="str">
        <x:v>20-中</x:v>
      </x:c>
      <x:c r="F5" s="144" t="str">
        <x:v>10-高</x:v>
      </x:c>
      <x:c r="G5" s="145" t="str" cm="1">
        <x:f t="array" ref="G5"/>
        <x:v>P1</x:v>
      </x:c>
      <x:c r="H5" s="146" t="str">
        <x:v>MES与ERP上线期间账号权限管控方案</x:v>
      </x:c>
      <x:c r="I5" s="146" t="str">
        <x:v>上线窗口需要强化高权限账号审批、操作留痕及应急授权流程。</x:v>
      </x:c>
      <x:c r="J5" s="144" t="str">
        <x:v>01-集团</x:v>
      </x:c>
      <x:c r="K5" s="146" t="str">
        <x:v>审计部</x:v>
      </x:c>
      <x:c r="L5" s="146" t="str">
        <x:v>曹云峰</x:v>
      </x:c>
      <x:c r="M5" s="147" t="n">
        <x:v>46244</x:v>
      </x:c>
      <x:c r="N5" s="147" t="str">
        <x:v>曹云峰</x:v>
      </x:c>
      <x:c r="O5" s="147" t="str">
        <x:v>51-验证</x:v>
      </x:c>
      <x:c r="P5" s="147" t="n">
        <x:v>46245</x:v>
      </x:c>
      <x:c r="Q5" s="147" t="n">
        <x:v>46261</x:v>
      </x:c>
      <x:c r="R5" s="148"/>
      <x:c r="S5" s="146" t="str">
        <x:v>权限清单已验证，等待业务方确认应急账号名单。</x:v>
      </x:c>
      <x:c r="T5" s="146" t="str">
        <x:v>示例数据：用于 IT管理部工作台 V1 演示，不代表真实生产、项目或服务状态。</x:v>
      </x:c>
      <x:c r="U5" s="149" t="n">
        <x:f t="shared" si="1"/>
        <x:v>1</x:v>
      </x:c>
      <x:c r="V5" s="149">
        <x:f t="shared" si="2"/>
      </x:c>
      <x:c r="W5" s="149">
        <x:f t="shared" si="3"/>
      </x:c>
    </x:row>
    <x:row r="6" ht="36" customHeight="1">
      <x:c r="A6" s="143" t="n">
        <x:f t="shared" si="0"/>
        <x:v>5</x:v>
      </x:c>
      <x:c r="B6" s="144" t="str">
        <x:v>01-Task</x:v>
      </x:c>
      <x:c r="C6" s="144" t="str">
        <x:v>06-Workplace</x:v>
      </x:c>
      <x:c r="D6" s="144" t="str">
        <x:v>A01-All</x:v>
      </x:c>
      <x:c r="E6" s="144" t="str">
        <x:v>20-中</x:v>
      </x:c>
      <x:c r="F6" s="144" t="str">
        <x:v>20-中</x:v>
      </x:c>
      <x:c r="G6" s="145" t="str" cm="1">
        <x:f t="array" ref="G6"/>
        <x:v>P2</x:v>
      </x:c>
      <x:c r="H6" s="146" t="str">
        <x:v>IT部门上线值班排班与应急通讯录</x:v>
      </x:c>
      <x:c r="I6" s="146" t="str">
        <x:v>MES、ERP试运行期间需覆盖系统、网络、硬件和厂商联络人。</x:v>
      </x:c>
      <x:c r="J6" s="144" t="str">
        <x:v>01-集团</x:v>
      </x:c>
      <x:c r="K6" s="146" t="str">
        <x:v>IT管理部</x:v>
      </x:c>
      <x:c r="L6" s="146" t="str">
        <x:v>曹云峰</x:v>
      </x:c>
      <x:c r="M6" s="147" t="n">
        <x:v>46246</x:v>
      </x:c>
      <x:c r="N6" s="147" t="str">
        <x:v>曹云峰</x:v>
      </x:c>
      <x:c r="O6" s="147" t="str">
        <x:v>61-关闭</x:v>
      </x:c>
      <x:c r="P6" s="147" t="n">
        <x:v>46246</x:v>
      </x:c>
      <x:c r="Q6" s="147" t="n">
        <x:v>46252</x:v>
      </x:c>
      <x:c r="R6" s="148" t="n">
        <x:v>46251</x:v>
      </x:c>
      <x:c r="S6" s="146" t="str">
        <x:v>值班表与应急通讯录已发布并完成演练。</x:v>
      </x:c>
      <x:c r="T6" s="146" t="str">
        <x:v>示例数据：用于 IT管理部工作台 V1 演示，不代表真实生产、项目或服务状态。</x:v>
      </x:c>
      <x:c r="U6" s="149" t="n">
        <x:f t="shared" si="1"/>
        <x:v>0</x:v>
      </x:c>
      <x:c r="V6" s="149" t="n">
        <x:f t="shared" si="2"/>
        <x:v>1</x:v>
      </x:c>
      <x:c r="W6" s="149" t="n">
        <x:f t="shared" si="3"/>
        <x:v>5</x:v>
      </x:c>
    </x:row>
    <x:row r="7" ht="36" customHeight="1">
      <x:c r="A7" s="143" t="n">
        <x:f t="shared" si="0"/>
        <x:v>6</x:v>
      </x:c>
      <x:c r="B7" s="144" t="str">
        <x:v>02-Incident</x:v>
      </x:c>
      <x:c r="C7" s="144" t="str">
        <x:v>01-MES</x:v>
      </x:c>
      <x:c r="D7" s="144" t="str">
        <x:v>D01-Lixiang</x:v>
      </x:c>
      <x:c r="E7" s="144" t="str">
        <x:v>10-高</x:v>
      </x:c>
      <x:c r="F7" s="144" t="str">
        <x:v>10-高</x:v>
      </x:c>
      <x:c r="G7" s="145" t="str" cm="1">
        <x:f t="array" ref="G7"/>
        <x:v>P1</x:v>
      </x:c>
      <x:c r="H7" s="146" t="str">
        <x:v>MES试运行首日工单积压</x:v>
      </x:c>
      <x:c r="I7" s="146" t="str">
        <x:v>生产报工接口发生排队，影响试运行数据及时回传。</x:v>
      </x:c>
      <x:c r="J7" s="144" t="str">
        <x:v>02-诸暨1厂</x:v>
      </x:c>
      <x:c r="K7" s="146" t="str">
        <x:v>生产部</x:v>
      </x:c>
      <x:c r="L7" s="146" t="str">
        <x:v>曹云峰</x:v>
      </x:c>
      <x:c r="M7" s="147" t="n">
        <x:v>46254</x:v>
      </x:c>
      <x:c r="N7" s="147" t="str">
        <x:v>曹云峰</x:v>
      </x:c>
      <x:c r="O7" s="147" t="str">
        <x:v>61-关闭</x:v>
      </x:c>
      <x:c r="P7" s="147" t="n">
        <x:v>46254</x:v>
      </x:c>
      <x:c r="Q7" s="147" t="n">
        <x:v>46254</x:v>
      </x:c>
      <x:c r="R7" s="148" t="n">
        <x:v>46254</x:v>
      </x:c>
      <x:c r="S7" s="151" t="str">
        <x:v>已协调厂商扩容接口队列并完成现场验证。</x:v>
      </x:c>
      <x:c r="T7" s="152" t="str">
        <x:v>示例数据：用于 IT管理部工作台 V1 演示，不代表真实生产、项目或服务状态。</x:v>
      </x:c>
      <x:c r="U7" s="149" t="n">
        <x:f t="shared" si="1"/>
        <x:v>0</x:v>
      </x:c>
      <x:c r="V7" s="149" t="n">
        <x:f t="shared" si="2"/>
        <x:v>0</x:v>
      </x:c>
      <x:c r="W7" s="149" t="n">
        <x:f t="shared" si="3"/>
        <x:v>0</x:v>
      </x:c>
    </x:row>
    <x:row r="8" ht="36" customHeight="1">
      <x:c r="A8" s="143" t="n">
        <x:f t="shared" si="0"/>
        <x:v>7</x:v>
      </x:c>
      <x:c r="B8" s="144" t="str">
        <x:v>04-Request</x:v>
      </x:c>
      <x:c r="C8" s="144" t="str">
        <x:v>04-PLM</x:v>
      </x:c>
      <x:c r="D8" s="144" t="str">
        <x:v>A01-All</x:v>
      </x:c>
      <x:c r="E8" s="144" t="str">
        <x:v>30-低</x:v>
      </x:c>
      <x:c r="F8" s="144" t="str">
        <x:v>20-中</x:v>
      </x:c>
      <x:c r="G8" s="145" t="str" cm="1">
        <x:f t="array" ref="G8"/>
        <x:v>P3</x:v>
      </x:c>
      <x:c r="H8" s="146" t="str">
        <x:v>上线项目周报统一模板</x:v>
      </x:c>
      <x:c r="I8" s="146" t="str">
        <x:v>建立MES、ERP上线与试运行的统一周报口径和风险升级栏目。</x:v>
      </x:c>
      <x:c r="J8" s="144" t="str">
        <x:v>01-集团</x:v>
      </x:c>
      <x:c r="K8" s="146" t="str">
        <x:v>IT管理部</x:v>
      </x:c>
      <x:c r="L8" s="146" t="str">
        <x:v>曹云峰</x:v>
      </x:c>
      <x:c r="M8" s="147" t="n">
        <x:v>46256</x:v>
      </x:c>
      <x:c r="N8" s="147" t="str">
        <x:v>曹云峰</x:v>
      </x:c>
      <x:c r="O8" s="147" t="str">
        <x:v>41-处理</x:v>
      </x:c>
      <x:c r="P8" s="147" t="n">
        <x:v>46256</x:v>
      </x:c>
      <x:c r="Q8" s="147" t="n">
        <x:v>46269</x:v>
      </x:c>
      <x:c r="R8" s="148"/>
      <x:c r="S8" s="151" t="str">
        <x:v>已完成模板初稿，待各专业确认。</x:v>
      </x:c>
      <x:c r="T8" s="152" t="str">
        <x:v>示例数据：用于 IT管理部工作台 V1 演示，不代表真实生产、项目或服务状态。</x:v>
      </x:c>
      <x:c r="U8" s="149" t="n">
        <x:f t="shared" si="1"/>
        <x:v>0</x:v>
      </x:c>
      <x:c r="V8" s="149">
        <x:f t="shared" si="2"/>
      </x:c>
      <x:c r="W8" s="149">
        <x:f t="shared" si="3"/>
      </x:c>
    </x:row>
    <x:row r="9" ht="36" customHeight="1">
      <x:c r="A9" s="143" t="n">
        <x:f t="shared" si="0"/>
        <x:v>8</x:v>
      </x:c>
      <x:c r="B9" s="144" t="str">
        <x:v>01-Task</x:v>
      </x:c>
      <x:c r="C9" s="144" t="str">
        <x:v>05-Security</x:v>
      </x:c>
      <x:c r="D9" s="144" t="str">
        <x:v>A01-All</x:v>
      </x:c>
      <x:c r="E9" s="144" t="str">
        <x:v>20-中</x:v>
      </x:c>
      <x:c r="F9" s="144" t="str">
        <x:v>20-中</x:v>
      </x:c>
      <x:c r="G9" s="145" t="str" cm="1">
        <x:f t="array" ref="G9"/>
        <x:v>P2</x:v>
      </x:c>
      <x:c r="H9" s="146" t="str">
        <x:v>ERP上线后审计追踪抽查</x:v>
      </x:c>
      <x:c r="I9" s="146" t="str">
        <x:v>抽查关键角色权限与高风险操作日志，确认审计留痕完整。</x:v>
      </x:c>
      <x:c r="J9" s="144" t="str">
        <x:v>01-集团</x:v>
      </x:c>
      <x:c r="K9" s="146" t="str">
        <x:v>内控部</x:v>
      </x:c>
      <x:c r="L9" s="146" t="str">
        <x:v>曹云峰</x:v>
      </x:c>
      <x:c r="M9" s="147" t="n">
        <x:v>46259</x:v>
      </x:c>
      <x:c r="N9" s="147" t="str">
        <x:v>曹云峰</x:v>
      </x:c>
      <x:c r="O9" s="147" t="str">
        <x:v>11-提出-业务澄清</x:v>
      </x:c>
      <x:c r="P9" s="147"/>
      <x:c r="Q9" s="147" t="n">
        <x:v>46275</x:v>
      </x:c>
      <x:c r="R9" s="148"/>
      <x:c r="S9" s="151" t="str">
        <x:v>待业务确认抽查范围与责任人。</x:v>
      </x:c>
      <x:c r="T9" s="152" t="str">
        <x:v>示例数据：用于 IT管理部工作台 V1 演示，不代表真实生产、项目或服务状态。</x:v>
      </x:c>
      <x:c r="U9" s="149">
        <x:f t="shared" si="1"/>
      </x:c>
      <x:c r="V9" s="149">
        <x:f t="shared" si="2"/>
      </x:c>
      <x:c r="W9" s="149">
        <x:f t="shared" si="3"/>
      </x:c>
    </x:row>
    <x:row r="10" ht="36" customHeight="1">
      <x:c r="A10" s="143" t="n">
        <x:f t="shared" si="0"/>
        <x:v>9</x:v>
      </x:c>
      <x:c r="B10" s="144" t="str">
        <x:v>05-Project</x:v>
      </x:c>
      <x:c r="C10" s="144" t="str">
        <x:v>01-MES</x:v>
      </x:c>
      <x:c r="D10" s="144" t="str">
        <x:v>D01-Lixiang</x:v>
      </x:c>
      <x:c r="E10" s="144" t="str">
        <x:v>10-高</x:v>
      </x:c>
      <x:c r="F10" s="144" t="str">
        <x:v>10-高</x:v>
      </x:c>
      <x:c r="G10" s="145" t="str" cm="1">
        <x:f t="array" ref="G10"/>
        <x:v>P1</x:v>
      </x:c>
      <x:c r="H10" s="146" t="str">
        <x:v>MES诸暨1厂生产报工模块上线</x:v>
      </x:c>
      <x:c r="I10" s="146" t="str">
        <x:v>完成报工、工序采集与工单状态回传上线，覆盖首批试运行产线。</x:v>
      </x:c>
      <x:c r="J10" s="144" t="str">
        <x:v>02-诸暨1厂</x:v>
      </x:c>
      <x:c r="K10" s="146" t="str">
        <x:v>生产部</x:v>
      </x:c>
      <x:c r="L10" s="146" t="str">
        <x:v>郑少青</x:v>
      </x:c>
      <x:c r="M10" s="147" t="n">
        <x:v>46235</x:v>
      </x:c>
      <x:c r="N10" s="147" t="str">
        <x:v>郑少青</x:v>
      </x:c>
      <x:c r="O10" s="147" t="str">
        <x:v>41-处理</x:v>
      </x:c>
      <x:c r="P10" s="147" t="n">
        <x:v>46235</x:v>
      </x:c>
      <x:c r="Q10" s="147" t="n">
        <x:v>46262</x:v>
      </x:c>
      <x:c r="R10" s="148"/>
      <x:c r="S10" s="151" t="str">
        <x:v>接口联调完成，正在执行生产班组试运行。</x:v>
      </x:c>
      <x:c r="T10" s="152" t="str">
        <x:v>示例数据：用于 IT管理部工作台 V1 演示，不代表真实生产、项目或服务状态。</x:v>
      </x:c>
      <x:c r="U10" s="149" t="n">
        <x:f t="shared" si="1"/>
        <x:v>0</x:v>
      </x:c>
      <x:c r="V10" s="149">
        <x:f t="shared" si="2"/>
      </x:c>
      <x:c r="W10" s="149">
        <x:f t="shared" si="3"/>
      </x:c>
    </x:row>
    <x:row r="11" ht="36" customHeight="1">
      <x:c r="A11" s="143" t="n">
        <x:f t="shared" si="0"/>
        <x:v>10</x:v>
      </x:c>
      <x:c r="B11" s="144" t="str">
        <x:v>04-Request</x:v>
      </x:c>
      <x:c r="C11" s="144" t="str">
        <x:v>02-U9C</x:v>
      </x:c>
      <x:c r="D11" s="144" t="str">
        <x:v>D01-Lixiang</x:v>
      </x:c>
      <x:c r="E11" s="144" t="str">
        <x:v>20-中</x:v>
      </x:c>
      <x:c r="F11" s="144" t="str">
        <x:v>20-中</x:v>
      </x:c>
      <x:c r="G11" s="145" t="str" cm="1">
        <x:f t="array" ref="G11"/>
        <x:v>P2</x:v>
      </x:c>
      <x:c r="H11" s="146" t="str">
        <x:v>ERP与MES物料主数据同步规则</x:v>
      </x:c>
      <x:c r="I11" s="146" t="str">
        <x:v>定义物料、BOM、工艺路线与仓库编码的同步频率及异常处理规则。</x:v>
      </x:c>
      <x:c r="J11" s="144" t="str">
        <x:v>02-诸暨1厂</x:v>
      </x:c>
      <x:c r="K11" s="146" t="str">
        <x:v>供应链中心</x:v>
      </x:c>
      <x:c r="L11" s="146" t="str">
        <x:v>郑少青</x:v>
      </x:c>
      <x:c r="M11" s="147" t="n">
        <x:v>46238</x:v>
      </x:c>
      <x:c r="N11" s="147" t="str">
        <x:v>郑少青</x:v>
      </x:c>
      <x:c r="O11" s="147" t="str">
        <x:v>51-验证</x:v>
      </x:c>
      <x:c r="P11" s="147" t="n">
        <x:v>46238</x:v>
      </x:c>
      <x:c r="Q11" s="147" t="n">
        <x:v>46263</x:v>
      </x:c>
      <x:c r="R11" s="148"/>
      <x:c r="S11" s="151" t="str">
        <x:v>测试数据已同步，等待业务核对差异。</x:v>
      </x:c>
      <x:c r="T11" s="152" t="str">
        <x:v>示例数据：用于 IT管理部工作台 V1 演示，不代表真实生产、项目或服务状态。</x:v>
      </x:c>
      <x:c r="U11" s="149" t="n">
        <x:f t="shared" si="1"/>
        <x:v>0</x:v>
      </x:c>
      <x:c r="V11" s="149">
        <x:f t="shared" si="2"/>
      </x:c>
      <x:c r="W11" s="149">
        <x:f t="shared" si="3"/>
      </x:c>
    </x:row>
    <x:row r="12" ht="36" customHeight="1">
      <x:c r="A12" s="143" t="n">
        <x:f t="shared" si="0"/>
        <x:v>11</x:v>
      </x:c>
      <x:c r="B12" s="144" t="str">
        <x:v>02-Incident</x:v>
      </x:c>
      <x:c r="C12" s="144" t="str">
        <x:v>01-MES</x:v>
      </x:c>
      <x:c r="D12" s="144" t="str">
        <x:v>D01-Lixiang</x:v>
      </x:c>
      <x:c r="E12" s="144" t="str">
        <x:v>10-高</x:v>
      </x:c>
      <x:c r="F12" s="144" t="str">
        <x:v>10-高</x:v>
      </x:c>
      <x:c r="G12" s="145" t="str" cm="1">
        <x:f t="array" ref="G12"/>
        <x:v>P1</x:v>
      </x:c>
      <x:c r="H12" s="146" t="str">
        <x:v>MES工位终端扫码偶发失败</x:v>
      </x:c>
      <x:c r="I12" s="146" t="str">
        <x:v>试运行工位扫码后无法提交报工，影响现场节拍。</x:v>
      </x:c>
      <x:c r="J12" s="144" t="str">
        <x:v>02-诸暨1厂</x:v>
      </x:c>
      <x:c r="K12" s="146" t="str">
        <x:v>制造一部</x:v>
      </x:c>
      <x:c r="L12" s="146" t="str">
        <x:v>郑少青</x:v>
      </x:c>
      <x:c r="M12" s="147" t="n">
        <x:v>46252</x:v>
      </x:c>
      <x:c r="N12" s="147" t="str">
        <x:v>郑少青</x:v>
      </x:c>
      <x:c r="O12" s="147" t="str">
        <x:v>61-关闭</x:v>
      </x:c>
      <x:c r="P12" s="147" t="n">
        <x:v>46252</x:v>
      </x:c>
      <x:c r="Q12" s="147" t="n">
        <x:v>46252</x:v>
      </x:c>
      <x:c r="R12" s="148" t="n">
        <x:v>46252</x:v>
      </x:c>
      <x:c r="S12" s="151" t="str">
        <x:v>修复扫码枪驱动版本并完成连续两班验证。</x:v>
      </x:c>
      <x:c r="T12" s="152" t="str">
        <x:v>示例数据：用于 IT管理部工作台 V1 演示，不代表真实生产、项目或服务状态。</x:v>
      </x:c>
      <x:c r="U12" s="149" t="n">
        <x:f t="shared" si="1"/>
        <x:v>0</x:v>
      </x:c>
      <x:c r="V12" s="149" t="n">
        <x:f t="shared" si="2"/>
        <x:v>0</x:v>
      </x:c>
      <x:c r="W12" s="149" t="n">
        <x:f t="shared" si="3"/>
        <x:v>0</x:v>
      </x:c>
    </x:row>
    <x:row r="13" ht="36" customHeight="1">
      <x:c r="A13" s="143" t="n">
        <x:f t="shared" si="0"/>
        <x:v>12</x:v>
      </x:c>
      <x:c r="B13" s="144" t="str">
        <x:v>03-Problem</x:v>
      </x:c>
      <x:c r="C13" s="144" t="str">
        <x:v>02-U9C</x:v>
      </x:c>
      <x:c r="D13" s="144" t="str">
        <x:v>D01-Lixiang</x:v>
      </x:c>
      <x:c r="E13" s="144" t="str">
        <x:v>20-中</x:v>
      </x:c>
      <x:c r="F13" s="144" t="str">
        <x:v>20-中</x:v>
      </x:c>
      <x:c r="G13" s="145" t="str" cm="1">
        <x:f t="array" ref="G13"/>
        <x:v>P2</x:v>
      </x:c>
      <x:c r="H13" s="146" t="str">
        <x:v>ERP库存与MES在制数量差异</x:v>
      </x:c>
      <x:c r="I13" s="146" t="str">
        <x:v>日结后部分工单在制数量不一致，需要排查过账时点。</x:v>
      </x:c>
      <x:c r="J13" s="144" t="str">
        <x:v>02-诸暨1厂</x:v>
      </x:c>
      <x:c r="K13" s="146" t="str">
        <x:v>仓储部</x:v>
      </x:c>
      <x:c r="L13" s="146" t="str">
        <x:v>郑少青</x:v>
      </x:c>
      <x:c r="M13" s="147" t="n">
        <x:v>46253</x:v>
      </x:c>
      <x:c r="N13" s="147" t="str">
        <x:v>郑少青</x:v>
      </x:c>
      <x:c r="O13" s="147" t="str">
        <x:v>41-处理</x:v>
      </x:c>
      <x:c r="P13" s="147" t="n">
        <x:v>46253</x:v>
      </x:c>
      <x:c r="Q13" s="147" t="n">
        <x:v>46267</x:v>
      </x:c>
      <x:c r="R13" s="148"/>
      <x:c r="S13" s="151" t="str">
        <x:v>已定位为夜班跨日过账场景，正在调整同步逻辑。</x:v>
      </x:c>
      <x:c r="T13" s="152" t="str">
        <x:v>示例数据：用于 IT管理部工作台 V1 演示，不代表真实生产、项目或服务状态。</x:v>
      </x:c>
      <x:c r="U13" s="149" t="n">
        <x:f t="shared" si="1"/>
        <x:v>0</x:v>
      </x:c>
      <x:c r="V13" s="149">
        <x:f t="shared" si="2"/>
      </x:c>
      <x:c r="W13" s="149">
        <x:f t="shared" si="3"/>
      </x:c>
    </x:row>
    <x:row r="14" ht="36" customHeight="1">
      <x:c r="A14" s="143" t="n">
        <x:f t="shared" si="0"/>
        <x:v>13</x:v>
      </x:c>
      <x:c r="B14" s="144" t="str">
        <x:v>01-Task</x:v>
      </x:c>
      <x:c r="C14" s="144" t="str">
        <x:v>01-MES</x:v>
      </x:c>
      <x:c r="D14" s="144" t="str">
        <x:v>D01-Lixiang</x:v>
      </x:c>
      <x:c r="E14" s="144" t="str">
        <x:v>20-中</x:v>
      </x:c>
      <x:c r="F14" s="144" t="str">
        <x:v>20-中</x:v>
      </x:c>
      <x:c r="G14" s="145" t="str" cm="1">
        <x:f t="array" ref="G14"/>
        <x:v>P2</x:v>
      </x:c>
      <x:c r="H14" s="146" t="str">
        <x:v>MES试运行班组培训签到与答疑</x:v>
      </x:c>
      <x:c r="I14" s="146" t="str">
        <x:v>完成首批班组长、工艺员和统计员的操作培训及现场答疑。</x:v>
      </x:c>
      <x:c r="J14" s="144" t="str">
        <x:v>02-诸暨1厂</x:v>
      </x:c>
      <x:c r="K14" s="146" t="str">
        <x:v>生产部</x:v>
      </x:c>
      <x:c r="L14" s="146" t="str">
        <x:v>郑少青</x:v>
      </x:c>
      <x:c r="M14" s="147" t="n">
        <x:v>46243</x:v>
      </x:c>
      <x:c r="N14" s="147" t="str">
        <x:v>郑少青</x:v>
      </x:c>
      <x:c r="O14" s="147" t="str">
        <x:v>61-关闭</x:v>
      </x:c>
      <x:c r="P14" s="147" t="n">
        <x:v>46243</x:v>
      </x:c>
      <x:c r="Q14" s="147" t="n">
        <x:v>46249</x:v>
      </x:c>
      <x:c r="R14" s="148" t="n">
        <x:v>46248</x:v>
      </x:c>
      <x:c r="S14" s="151" t="str">
        <x:v>培训完成，常见问题已沉淀到操作指引。</x:v>
      </x:c>
      <x:c r="T14" s="152" t="str">
        <x:v>示例数据：用于 IT管理部工作台 V1 演示，不代表真实生产、项目或服务状态。</x:v>
      </x:c>
      <x:c r="U14" s="149" t="n">
        <x:f t="shared" si="1"/>
        <x:v>0</x:v>
      </x:c>
      <x:c r="V14" s="149" t="n">
        <x:f t="shared" si="2"/>
        <x:v>1</x:v>
      </x:c>
      <x:c r="W14" s="149" t="n">
        <x:f t="shared" si="3"/>
        <x:v>5</x:v>
      </x:c>
    </x:row>
    <x:row r="15" ht="36" customHeight="1">
      <x:c r="A15" s="143" t="n">
        <x:f t="shared" si="0"/>
        <x:v>14</x:v>
      </x:c>
      <x:c r="B15" s="144" t="str">
        <x:v>04-Request</x:v>
      </x:c>
      <x:c r="C15" s="144" t="str">
        <x:v>02-U9C</x:v>
      </x:c>
      <x:c r="D15" s="144" t="str">
        <x:v>D01-Lixiang</x:v>
      </x:c>
      <x:c r="E15" s="144" t="str">
        <x:v>30-低</x:v>
      </x:c>
      <x:c r="F15" s="144" t="str">
        <x:v>20-中</x:v>
      </x:c>
      <x:c r="G15" s="145" t="str" cm="1">
        <x:f t="array" ref="G15"/>
        <x:v>P3</x:v>
      </x:c>
      <x:c r="H15" s="146" t="str">
        <x:v>ERP采购订单状态推送MES</x:v>
      </x:c>
      <x:c r="I15" s="146" t="str">
        <x:v>业务申请在MES看板显示关键外协采购订单到料状态。</x:v>
      </x:c>
      <x:c r="J15" s="144" t="str">
        <x:v>02-诸暨1厂</x:v>
      </x:c>
      <x:c r="K15" s="146" t="str">
        <x:v>采购部</x:v>
      </x:c>
      <x:c r="L15" s="146" t="str">
        <x:v>郑少青</x:v>
      </x:c>
      <x:c r="M15" s="147" t="n">
        <x:v>46257</x:v>
      </x:c>
      <x:c r="N15" s="147" t="str">
        <x:v>郑少青</x:v>
      </x:c>
      <x:c r="O15" s="147" t="str">
        <x:v>21-接受</x:v>
      </x:c>
      <x:c r="P15" s="147" t="n">
        <x:v>46257</x:v>
      </x:c>
      <x:c r="Q15" s="147" t="n">
        <x:v>46277</x:v>
      </x:c>
      <x:c r="R15" s="148"/>
      <x:c r="S15" s="151" t="str">
        <x:v>已接收需求，待确认展示字段与刷新频率。</x:v>
      </x:c>
      <x:c r="T15" s="152" t="str">
        <x:v>示例数据：用于 IT管理部工作台 V1 演示，不代表真实生产、项目或服务状态。</x:v>
      </x:c>
      <x:c r="U15" s="149" t="n">
        <x:f t="shared" si="1"/>
        <x:v>0</x:v>
      </x:c>
      <x:c r="V15" s="149">
        <x:f t="shared" si="2"/>
      </x:c>
      <x:c r="W15" s="149">
        <x:f t="shared" si="3"/>
      </x:c>
    </x:row>
    <x:row r="16" ht="36" customHeight="1">
      <x:c r="A16" s="143" t="n">
        <x:f t="shared" si="0"/>
        <x:v>15</x:v>
      </x:c>
      <x:c r="B16" s="144" t="str">
        <x:v>01-Task</x:v>
      </x:c>
      <x:c r="C16" s="144" t="str">
        <x:v>01-MES</x:v>
      </x:c>
      <x:c r="D16" s="144" t="str">
        <x:v>D01-Lixiang</x:v>
      </x:c>
      <x:c r="E16" s="144" t="str">
        <x:v>20-中</x:v>
      </x:c>
      <x:c r="F16" s="144" t="str">
        <x:v>10-高</x:v>
      </x:c>
      <x:c r="G16" s="145" t="str" cm="1">
        <x:f t="array" ref="G16"/>
        <x:v>P1</x:v>
      </x:c>
      <x:c r="H16" s="146" t="str">
        <x:v>MES上线切换前主数据冻结核对</x:v>
      </x:c>
      <x:c r="I16" s="146" t="str">
        <x:v>确认工序、设备、人员、班组与工单主数据完成冻结并可追溯。</x:v>
      </x:c>
      <x:c r="J16" s="144" t="str">
        <x:v>02-诸暨1厂</x:v>
      </x:c>
      <x:c r="K16" s="146" t="str">
        <x:v>生产部</x:v>
      </x:c>
      <x:c r="L16" s="146" t="str">
        <x:v>郑少青</x:v>
      </x:c>
      <x:c r="M16" s="147" t="n">
        <x:v>46258</x:v>
      </x:c>
      <x:c r="N16" s="147" t="str">
        <x:v>郑少青</x:v>
      </x:c>
      <x:c r="O16" s="147" t="str">
        <x:v>41-处理</x:v>
      </x:c>
      <x:c r="P16" s="147" t="n">
        <x:v>46258</x:v>
      </x:c>
      <x:c r="Q16" s="147" t="n">
        <x:v>46264</x:v>
      </x:c>
      <x:c r="R16" s="148"/>
      <x:c r="S16" s="151" t="str">
        <x:v>已完成第一轮核对，待业务补齐两项工艺路线。</x:v>
      </x:c>
      <x:c r="T16" s="152" t="str">
        <x:v>示例数据：用于 IT管理部工作台 V1 演示，不代表真实生产、项目或服务状态。</x:v>
      </x:c>
      <x:c r="U16" s="149" t="n">
        <x:f t="shared" si="1"/>
        <x:v>0</x:v>
      </x:c>
      <x:c r="V16" s="149">
        <x:f t="shared" si="2"/>
      </x:c>
      <x:c r="W16" s="149">
        <x:f t="shared" si="3"/>
      </x:c>
    </x:row>
    <x:row r="17" ht="36" customHeight="1">
      <x:c r="A17" s="143" t="n">
        <x:f t="shared" si="0"/>
        <x:v>16</x:v>
      </x:c>
      <x:c r="B17" s="144" t="str">
        <x:v>02-Incident</x:v>
      </x:c>
      <x:c r="C17" s="144" t="str">
        <x:v>02-U9C</x:v>
      </x:c>
      <x:c r="D17" s="144" t="str">
        <x:v>D01-Lixiang</x:v>
      </x:c>
      <x:c r="E17" s="144" t="str">
        <x:v>20-中</x:v>
      </x:c>
      <x:c r="F17" s="144" t="str">
        <x:v>10-高</x:v>
      </x:c>
      <x:c r="G17" s="145" t="str" cm="1">
        <x:f t="array" ref="G17"/>
        <x:v>P2</x:v>
      </x:c>
      <x:c r="H17" s="146" t="str">
        <x:v>ERP上线演练期间接口凭证报错</x:v>
      </x:c>
      <x:c r="I17" s="146" t="str">
        <x:v>模拟切换时财务凭证接口返回字段长度错误。</x:v>
      </x:c>
      <x:c r="J17" s="144" t="str">
        <x:v>02-诸暨1厂</x:v>
      </x:c>
      <x:c r="K17" s="146" t="str">
        <x:v>财务部</x:v>
      </x:c>
      <x:c r="L17" s="146" t="str">
        <x:v>郑少青</x:v>
      </x:c>
      <x:c r="M17" s="147" t="n">
        <x:v>46260</x:v>
      </x:c>
      <x:c r="N17" s="147" t="str">
        <x:v>郑少青</x:v>
      </x:c>
      <x:c r="O17" s="147" t="str">
        <x:v>31-评估</x:v>
      </x:c>
      <x:c r="P17" s="147" t="n">
        <x:v>46260</x:v>
      </x:c>
      <x:c r="Q17" s="147" t="n">
        <x:v>46266</x:v>
      </x:c>
      <x:c r="R17" s="148"/>
      <x:c r="S17" s="151" t="str">
        <x:v>已提交厂商分析，等待补丁方案。</x:v>
      </x:c>
      <x:c r="T17" s="152" t="str">
        <x:v>示例数据：用于 IT管理部工作台 V1 演示，不代表真实生产、项目或服务状态。</x:v>
      </x:c>
      <x:c r="U17" s="149" t="n">
        <x:f t="shared" si="1"/>
        <x:v>0</x:v>
      </x:c>
      <x:c r="V17" s="149">
        <x:f t="shared" si="2"/>
      </x:c>
      <x:c r="W17" s="149">
        <x:f t="shared" si="3"/>
      </x:c>
    </x:row>
    <x:row r="18" ht="36" customHeight="1">
      <x:c r="A18" s="143" t="n">
        <x:f t="shared" si="0"/>
        <x:v>17</x:v>
      </x:c>
      <x:c r="B18" s="144" t="str">
        <x:v>01-Task</x:v>
      </x:c>
      <x:c r="C18" s="144" t="str">
        <x:v>09-Network</x:v>
      </x:c>
      <x:c r="D18" s="144" t="str">
        <x:v>D01-Lixiang</x:v>
      </x:c>
      <x:c r="E18" s="144" t="str">
        <x:v>10-高</x:v>
      </x:c>
      <x:c r="F18" s="144" t="str">
        <x:v>10-高</x:v>
      </x:c>
      <x:c r="G18" s="145" t="str" cm="1">
        <x:f t="array" ref="G18"/>
        <x:v>P1</x:v>
      </x:c>
      <x:c r="H18" s="146" t="str">
        <x:v>MES上线车间核心交换机冗余切换演练</x:v>
      </x:c>
      <x:c r="I18" s="146" t="str">
        <x:v>验证产线核心交换机双机切换不会中断MES终端报工。</x:v>
      </x:c>
      <x:c r="J18" s="144" t="str">
        <x:v>02-诸暨1厂</x:v>
      </x:c>
      <x:c r="K18" s="146" t="str">
        <x:v>设备动力部</x:v>
      </x:c>
      <x:c r="L18" s="146" t="str">
        <x:v>徐海东</x:v>
      </x:c>
      <x:c r="M18" s="147" t="n">
        <x:v>46236</x:v>
      </x:c>
      <x:c r="N18" s="147" t="str">
        <x:v>徐海东</x:v>
      </x:c>
      <x:c r="O18" s="147" t="str">
        <x:v>61-关闭</x:v>
      </x:c>
      <x:c r="P18" s="147" t="n">
        <x:v>46236</x:v>
      </x:c>
      <x:c r="Q18" s="147" t="n">
        <x:v>46243</x:v>
      </x:c>
      <x:c r="R18" s="148" t="n">
        <x:v>46242</x:v>
      </x:c>
      <x:c r="S18" s="151" t="str">
        <x:v>演练通过，切换时长满足上线要求。</x:v>
      </x:c>
      <x:c r="T18" s="152" t="str">
        <x:v>示例数据：用于 IT管理部工作台 V1 演示，不代表真实生产、项目或服务状态。</x:v>
      </x:c>
      <x:c r="U18" s="149" t="n">
        <x:f t="shared" si="1"/>
        <x:v>0</x:v>
      </x:c>
      <x:c r="V18" s="149" t="n">
        <x:f t="shared" si="2"/>
        <x:v>1</x:v>
      </x:c>
      <x:c r="W18" s="149" t="n">
        <x:f t="shared" si="3"/>
        <x:v>6</x:v>
      </x:c>
    </x:row>
    <x:row r="19" ht="36" customHeight="1">
      <x:c r="A19" s="143" t="n">
        <x:f t="shared" si="0"/>
        <x:v>18</x:v>
      </x:c>
      <x:c r="B19" s="144" t="str">
        <x:v>01-Task</x:v>
      </x:c>
      <x:c r="C19" s="144" t="str">
        <x:v>06-Workplace</x:v>
      </x:c>
      <x:c r="D19" s="144" t="str">
        <x:v>D01-Lixiang</x:v>
      </x:c>
      <x:c r="E19" s="144" t="str">
        <x:v>20-中</x:v>
      </x:c>
      <x:c r="F19" s="144" t="str">
        <x:v>10-高</x:v>
      </x:c>
      <x:c r="G19" s="145" t="str" cm="1">
        <x:f t="array" ref="G19"/>
        <x:v>P2</x:v>
      </x:c>
      <x:c r="H19" s="146" t="str">
        <x:v>MES试运行工位终端硬件盘点</x:v>
      </x:c>
      <x:c r="I19" s="146" t="str">
        <x:v>核对扫码枪、打印机、工控机及备用电源配置，保障试运行班组使用。</x:v>
      </x:c>
      <x:c r="J19" s="144" t="str">
        <x:v>02-诸暨1厂</x:v>
      </x:c>
      <x:c r="K19" s="146" t="str">
        <x:v>生产部</x:v>
      </x:c>
      <x:c r="L19" s="146" t="str">
        <x:v>徐海东</x:v>
      </x:c>
      <x:c r="M19" s="147" t="n">
        <x:v>46245</x:v>
      </x:c>
      <x:c r="N19" s="147" t="str">
        <x:v>徐海东</x:v>
      </x:c>
      <x:c r="O19" s="147" t="str">
        <x:v>41-处理</x:v>
      </x:c>
      <x:c r="P19" s="147" t="n">
        <x:v>46245</x:v>
      </x:c>
      <x:c r="Q19" s="147" t="n">
        <x:v>46263</x:v>
      </x:c>
      <x:c r="R19" s="148"/>
      <x:c r="S19" s="151" t="str">
        <x:v>已完成90%盘点，待补齐两台备用工控机。</x:v>
      </x:c>
      <x:c r="T19" s="152" t="str">
        <x:v>示例数据：用于 IT管理部工作台 V1 演示，不代表真实生产、项目或服务状态。</x:v>
      </x:c>
      <x:c r="U19" s="149" t="n">
        <x:f t="shared" si="1"/>
        <x:v>0</x:v>
      </x:c>
      <x:c r="V19" s="149">
        <x:f t="shared" si="2"/>
      </x:c>
      <x:c r="W19" s="149">
        <x:f t="shared" si="3"/>
      </x:c>
    </x:row>
    <x:row r="20" ht="36" customHeight="1">
      <x:c r="A20" s="143" t="n">
        <x:f t="shared" si="0"/>
        <x:v>19</x:v>
      </x:c>
      <x:c r="B20" s="144" t="str">
        <x:v>02-Incident</x:v>
      </x:c>
      <x:c r="C20" s="144" t="str">
        <x:v>09-Network</x:v>
      </x:c>
      <x:c r="D20" s="144" t="str">
        <x:v>D02-Weilai</x:v>
      </x:c>
      <x:c r="E20" s="144" t="str">
        <x:v>20-中</x:v>
      </x:c>
      <x:c r="F20" s="144" t="str">
        <x:v>10-高</x:v>
      </x:c>
      <x:c r="G20" s="145" t="str" cm="1">
        <x:f t="array" ref="G20"/>
        <x:v>P2</x:v>
      </x:c>
      <x:c r="H20" s="146" t="str">
        <x:v>ERP上线演练VPN访问不稳定</x:v>
      </x:c>
      <x:c r="I20" s="146" t="str">
        <x:v>异地财务人员连接ERP测试环境时频繁掉线。</x:v>
      </x:c>
      <x:c r="J20" s="144" t="str">
        <x:v>03-诸暨2厂</x:v>
      </x:c>
      <x:c r="K20" s="146" t="str">
        <x:v>财务中心</x:v>
      </x:c>
      <x:c r="L20" s="146" t="str">
        <x:v>徐海东</x:v>
      </x:c>
      <x:c r="M20" s="147" t="n">
        <x:v>46251</x:v>
      </x:c>
      <x:c r="N20" s="147" t="str">
        <x:v>徐海东</x:v>
      </x:c>
      <x:c r="O20" s="147" t="str">
        <x:v>61-关闭</x:v>
      </x:c>
      <x:c r="P20" s="147" t="n">
        <x:v>46251</x:v>
      </x:c>
      <x:c r="Q20" s="147" t="n">
        <x:v>46252</x:v>
      </x:c>
      <x:c r="R20" s="148" t="n">
        <x:v>46252</x:v>
      </x:c>
      <x:c r="S20" s="151" t="str">
        <x:v>调整VPN会话超时与负载策略后恢复稳定。</x:v>
      </x:c>
      <x:c r="T20" s="152" t="str">
        <x:v>示例数据：用于 IT管理部工作台 V1 演示，不代表真实生产、项目或服务状态。</x:v>
      </x:c>
      <x:c r="U20" s="149" t="n">
        <x:f t="shared" si="1"/>
        <x:v>0</x:v>
      </x:c>
      <x:c r="V20" s="149" t="n">
        <x:f t="shared" si="2"/>
        <x:v>0</x:v>
      </x:c>
      <x:c r="W20" s="149" t="n">
        <x:f t="shared" si="3"/>
        <x:v>1</x:v>
      </x:c>
    </x:row>
    <x:row r="21" ht="36" customHeight="1">
      <x:c r="A21" s="143" t="n">
        <x:f t="shared" si="0"/>
        <x:v>20</x:v>
      </x:c>
      <x:c r="B21" s="144" t="str">
        <x:v>03-Problem</x:v>
      </x:c>
      <x:c r="C21" s="144" t="str">
        <x:v>06-Workplace</x:v>
      </x:c>
      <x:c r="D21" s="144" t="str">
        <x:v>D01-Lixiang</x:v>
      </x:c>
      <x:c r="E21" s="144" t="str">
        <x:v>20-中</x:v>
      </x:c>
      <x:c r="F21" s="144" t="str">
        <x:v>20-中</x:v>
      </x:c>
      <x:c r="G21" s="145" t="str" cm="1">
        <x:f t="array" ref="G21"/>
        <x:v>P2</x:v>
      </x:c>
      <x:c r="H21" s="146" t="str">
        <x:v>车间MES终端电源波动风险</x:v>
      </x:c>
      <x:c r="I21" s="146" t="str">
        <x:v>部分工位电源无UPS保护，停电会导致终端异常关机。</x:v>
      </x:c>
      <x:c r="J21" s="144" t="str">
        <x:v>02-诸暨1厂</x:v>
      </x:c>
      <x:c r="K21" s="146" t="str">
        <x:v>设备动力部</x:v>
      </x:c>
      <x:c r="L21" s="146" t="str">
        <x:v>徐海东</x:v>
      </x:c>
      <x:c r="M21" s="147" t="n">
        <x:v>46255</x:v>
      </x:c>
      <x:c r="N21" s="147" t="str">
        <x:v>徐海东</x:v>
      </x:c>
      <x:c r="O21" s="147" t="str">
        <x:v>21-接受</x:v>
      </x:c>
      <x:c r="P21" s="147" t="n">
        <x:v>46255</x:v>
      </x:c>
      <x:c r="Q21" s="147" t="n">
        <x:v>46271</x:v>
      </x:c>
      <x:c r="R21" s="148"/>
      <x:c r="S21" s="151" t="str">
        <x:v>已接收整改事项，待确认UPS采购计划。</x:v>
      </x:c>
      <x:c r="T21" s="152" t="str">
        <x:v>示例数据：用于 IT管理部工作台 V1 演示，不代表真实生产、项目或服务状态。</x:v>
      </x:c>
      <x:c r="U21" s="149" t="n">
        <x:f t="shared" si="1"/>
        <x:v>0</x:v>
      </x:c>
      <x:c r="V21" s="149">
        <x:f t="shared" si="2"/>
      </x:c>
      <x:c r="W21" s="149">
        <x:f t="shared" si="3"/>
      </x:c>
    </x:row>
    <x:row r="22" ht="36" customHeight="1">
      <x:c r="A22" s="143" t="n">
        <x:f t="shared" si="0"/>
        <x:v>21</x:v>
      </x:c>
      <x:c r="B22" s="144" t="str">
        <x:v>04-Request</x:v>
      </x:c>
      <x:c r="C22" s="144" t="str">
        <x:v>09-Network</x:v>
      </x:c>
      <x:c r="D22" s="144" t="str">
        <x:v>A01-All</x:v>
      </x:c>
      <x:c r="E22" s="144" t="str">
        <x:v>20-中</x:v>
      </x:c>
      <x:c r="F22" s="144" t="str">
        <x:v>20-中</x:v>
      </x:c>
      <x:c r="G22" s="153" t="str" cm="1">
        <x:f t="array" ref="G22"/>
        <x:v>P2</x:v>
      </x:c>
      <x:c r="H22" s="146" t="str">
        <x:v>ERP与MES服务器监控告警接入</x:v>
      </x:c>
      <x:c r="I22" s="146" t="str">
        <x:v>接入CPU、磁盘、网络时延和服务端口告警，统一通知值班人员。</x:v>
      </x:c>
      <x:c r="J22" s="144" t="str">
        <x:v>01-集团</x:v>
      </x:c>
      <x:c r="K22" s="146" t="str">
        <x:v>IT管理部</x:v>
      </x:c>
      <x:c r="L22" s="146" t="str">
        <x:v>徐海东</x:v>
      </x:c>
      <x:c r="M22" s="147" t="n">
        <x:v>46256</x:v>
      </x:c>
      <x:c r="N22" s="147" t="str">
        <x:v>徐海东</x:v>
      </x:c>
      <x:c r="O22" s="147" t="str">
        <x:v>41-处理</x:v>
      </x:c>
      <x:c r="P22" s="147" t="n">
        <x:v>46256</x:v>
      </x:c>
      <x:c r="Q22" s="147" t="n">
        <x:v>46270</x:v>
      </x:c>
      <x:c r="R22" s="148"/>
      <x:c r="S22" s="151" t="str">
        <x:v>监控项已梳理，正在部署告警模板。</x:v>
      </x:c>
      <x:c r="T22" s="154" t="str">
        <x:v>示例数据：用于 IT管理部工作台 V1 演示，不代表真实生产、项目或服务状态。</x:v>
      </x:c>
      <x:c r="U22" s="149" t="n">
        <x:f t="shared" si="1"/>
        <x:v>0</x:v>
      </x:c>
      <x:c r="V22" s="149">
        <x:f t="shared" si="2"/>
      </x:c>
      <x:c r="W22" s="149">
        <x:f t="shared" si="3"/>
      </x:c>
    </x:row>
    <x:row r="23" ht="36" customHeight="1">
      <x:c r="A23" s="163" t="n">
        <x:v>22</x:v>
      </x:c>
      <x:c r="B23" s="165" t="str">
        <x:v>01-Task</x:v>
      </x:c>
      <x:c r="C23" s="165" t="str">
        <x:v>05-Security</x:v>
      </x:c>
      <x:c r="D23" s="165" t="str">
        <x:v>D01-Lixiang</x:v>
      </x:c>
      <x:c r="E23" s="165" t="str">
        <x:v>20-中</x:v>
      </x:c>
      <x:c r="F23" s="165" t="str">
        <x:v>20-中</x:v>
      </x:c>
      <x:c r="G23" s="165" t="str">
        <x:v>P2</x:v>
      </x:c>
      <x:c r="H23" s="156" t="str">
        <x:v>上线服务器堡垒机账号开通</x:v>
      </x:c>
      <x:c r="I23" s="156" t="str">
        <x:v>为MES、ERP上线支持人员开通最小权限的堡垒机访问账号。</x:v>
      </x:c>
      <x:c r="J23" s="156" t="str">
        <x:v>02-诸暨1厂</x:v>
      </x:c>
      <x:c r="K23" s="156" t="str">
        <x:v>IT管理部</x:v>
      </x:c>
      <x:c r="L23" s="156" t="str">
        <x:v>徐海东</x:v>
      </x:c>
      <x:c r="M23" s="167" t="n">
        <x:v>46257</x:v>
      </x:c>
      <x:c r="N23" s="167" t="str">
        <x:v>徐海东</x:v>
      </x:c>
      <x:c r="O23" s="167" t="str">
        <x:v>51-验证</x:v>
      </x:c>
      <x:c r="P23" s="167" t="n">
        <x:v>46257</x:v>
      </x:c>
      <x:c r="Q23" s="167" t="n">
        <x:v>46262</x:v>
      </x:c>
      <x:c r="R23" s="167"/>
      <x:c r="S23" s="156" t="str">
        <x:v>权限已配置，等待项目组逐人验证。</x:v>
      </x:c>
      <x:c r="T23" s="156" t="str">
        <x:v>示例数据：用于 IT管理部工作台 V1 演示，不代表真实生产、项目或服务状态。</x:v>
      </x:c>
      <x:c r="U23" s="165" t="n">
        <x:v>0</x:v>
      </x:c>
      <x:c r="V23" s="165"/>
      <x:c r="W23" s="165"/>
    </x:row>
    <x:row r="24" ht="36" customHeight="1">
      <x:c r="A24" s="163" t="n">
        <x:v>23</x:v>
      </x:c>
      <x:c r="B24" s="165" t="str">
        <x:v>02-Incident</x:v>
      </x:c>
      <x:c r="C24" s="165" t="str">
        <x:v>06-Workplace</x:v>
      </x:c>
      <x:c r="D24" s="165" t="str">
        <x:v>D01-Lixiang</x:v>
      </x:c>
      <x:c r="E24" s="165" t="str">
        <x:v>20-中</x:v>
      </x:c>
      <x:c r="F24" s="165" t="str">
        <x:v>20-中</x:v>
      </x:c>
      <x:c r="G24" s="165" t="str">
        <x:v>P2</x:v>
      </x:c>
      <x:c r="H24" s="156" t="str">
        <x:v>MES标签打印机驱动冲突</x:v>
      </x:c>
      <x:c r="I24" s="156" t="str">
        <x:v>两台标签打印机使用不同驱动导致试运行标签格式错位。</x:v>
      </x:c>
      <x:c r="J24" s="156" t="str">
        <x:v>02-诸暨1厂</x:v>
      </x:c>
      <x:c r="K24" s="156" t="str">
        <x:v>仓储部</x:v>
      </x:c>
      <x:c r="L24" s="156" t="str">
        <x:v>徐海东</x:v>
      </x:c>
      <x:c r="M24" s="167" t="n">
        <x:v>46258</x:v>
      </x:c>
      <x:c r="N24" s="167" t="str">
        <x:v>徐海东</x:v>
      </x:c>
      <x:c r="O24" s="167" t="str">
        <x:v>41-处理</x:v>
      </x:c>
      <x:c r="P24" s="167" t="n">
        <x:v>46258</x:v>
      </x:c>
      <x:c r="Q24" s="167" t="n">
        <x:v>46265</x:v>
      </x:c>
      <x:c r="R24" s="167"/>
      <x:c r="S24" s="156" t="str">
        <x:v>正在统一打印机驱动和模板版本。</x:v>
      </x:c>
      <x:c r="T24" s="156" t="str">
        <x:v>示例数据：用于 IT管理部工作台 V1 演示，不代表真实生产、项目或服务状态。</x:v>
      </x:c>
      <x:c r="U24" s="165" t="n">
        <x:v>0</x:v>
      </x:c>
      <x:c r="V24" s="165"/>
      <x:c r="W24" s="165"/>
    </x:row>
    <x:row r="25" ht="36" customHeight="1">
      <x:c r="A25" s="163" t="n">
        <x:v>24</x:v>
      </x:c>
      <x:c r="B25" s="165" t="str">
        <x:v>01-Task</x:v>
      </x:c>
      <x:c r="C25" s="165" t="str">
        <x:v>09-Network</x:v>
      </x:c>
      <x:c r="D25" s="165" t="str">
        <x:v>D01-Lixiang</x:v>
      </x:c>
      <x:c r="E25" s="165" t="str">
        <x:v>30-低</x:v>
      </x:c>
      <x:c r="F25" s="165" t="str">
        <x:v>20-中</x:v>
      </x:c>
      <x:c r="G25" s="165" t="str">
        <x:v>P3</x:v>
      </x:c>
      <x:c r="H25" s="156" t="str">
        <x:v>上线机房跳线与端口标识整理</x:v>
      </x:c>
      <x:c r="I25" s="156" t="str">
        <x:v>补充MES、ERP服务器及网络设备端口标识，便于后续运维。</x:v>
      </x:c>
      <x:c r="J25" s="156" t="str">
        <x:v>02-诸暨1厂</x:v>
      </x:c>
      <x:c r="K25" s="156" t="str">
        <x:v>IT管理部</x:v>
      </x:c>
      <x:c r="L25" s="156" t="str">
        <x:v>徐海东</x:v>
      </x:c>
      <x:c r="M25" s="167" t="n">
        <x:v>46259</x:v>
      </x:c>
      <x:c r="N25" s="167" t="str">
        <x:v>徐海东</x:v>
      </x:c>
      <x:c r="O25" s="167" t="str">
        <x:v>11-提出-业务澄清</x:v>
      </x:c>
      <x:c r="P25" s="167"/>
      <x:c r="Q25" s="167" t="n">
        <x:v>46280</x:v>
      </x:c>
      <x:c r="R25" s="167"/>
      <x:c r="S25" s="156" t="str">
        <x:v>待确认新增设备清单。</x:v>
      </x:c>
      <x:c r="T25" s="156" t="str">
        <x:v>示例数据：用于 IT管理部工作台 V1 演示，不代表真实生产、项目或服务状态。</x:v>
      </x:c>
      <x:c r="U25" s="165"/>
      <x:c r="V25" s="165"/>
      <x:c r="W25" s="165"/>
    </x:row>
    <x:row r="26" ht="36" customHeight="1">
      <x:c r="A26" s="163" t="n">
        <x:v>25</x:v>
      </x:c>
      <x:c r="B26" s="165" t="str">
        <x:v>05-Project</x:v>
      </x:c>
      <x:c r="C26" s="165" t="str">
        <x:v>02-U9C</x:v>
      </x:c>
      <x:c r="D26" s="165" t="str">
        <x:v>D02-Weilai</x:v>
      </x:c>
      <x:c r="E26" s="165" t="str">
        <x:v>10-高</x:v>
      </x:c>
      <x:c r="F26" s="165" t="str">
        <x:v>10-高</x:v>
      </x:c>
      <x:c r="G26" s="165" t="str">
        <x:v>P1</x:v>
      </x:c>
      <x:c r="H26" s="156" t="str">
        <x:v>ERP U9C诸暨2厂供应链模块上线</x:v>
      </x:c>
      <x:c r="I26" s="156" t="str">
        <x:v>完成采购、库存、生产领料和销售出库流程切换与试运行支持。</x:v>
      </x:c>
      <x:c r="J26" s="156" t="str">
        <x:v>03-诸暨2厂</x:v>
      </x:c>
      <x:c r="K26" s="156" t="str">
        <x:v>供应链中心</x:v>
      </x:c>
      <x:c r="L26" s="156" t="str">
        <x:v>黄顺吉</x:v>
      </x:c>
      <x:c r="M26" s="167" t="n">
        <x:v>46235</x:v>
      </x:c>
      <x:c r="N26" s="167" t="str">
        <x:v>黄顺吉</x:v>
      </x:c>
      <x:c r="O26" s="167" t="str">
        <x:v>41-处理</x:v>
      </x:c>
      <x:c r="P26" s="167" t="n">
        <x:v>46235</x:v>
      </x:c>
      <x:c r="Q26" s="167" t="n">
        <x:v>46265</x:v>
      </x:c>
      <x:c r="R26" s="167"/>
      <x:c r="S26" s="156" t="str">
        <x:v>已完成关键场景联调，待完成月结演练。</x:v>
      </x:c>
      <x:c r="T26" s="156" t="str">
        <x:v>示例数据：用于 IT管理部工作台 V1 演示，不代表真实生产、项目或服务状态。</x:v>
      </x:c>
      <x:c r="U26" s="165" t="n">
        <x:v>0</x:v>
      </x:c>
      <x:c r="V26" s="165"/>
      <x:c r="W26" s="165"/>
    </x:row>
    <x:row r="27" ht="36" customHeight="1">
      <x:c r="A27" s="163" t="n">
        <x:v>26</x:v>
      </x:c>
      <x:c r="B27" s="165" t="str">
        <x:v>01-Task</x:v>
      </x:c>
      <x:c r="C27" s="165" t="str">
        <x:v>02-U9C</x:v>
      </x:c>
      <x:c r="D27" s="165" t="str">
        <x:v>D02-Weilai</x:v>
      </x:c>
      <x:c r="E27" s="165" t="str">
        <x:v>20-中</x:v>
      </x:c>
      <x:c r="F27" s="165" t="str">
        <x:v>10-高</x:v>
      </x:c>
      <x:c r="G27" s="165" t="str">
        <x:v>P2</x:v>
      </x:c>
      <x:c r="H27" s="156" t="str">
        <x:v>ERP上线期初库存导入与核对</x:v>
      </x:c>
      <x:c r="I27" s="156" t="str">
        <x:v>完成期初库存、批次与库位数据导入，核对账实一致。</x:v>
      </x:c>
      <x:c r="J27" s="156" t="str">
        <x:v>03-诸暨2厂</x:v>
      </x:c>
      <x:c r="K27" s="156" t="str">
        <x:v>仓储部</x:v>
      </x:c>
      <x:c r="L27" s="156" t="str">
        <x:v>黄顺吉</x:v>
      </x:c>
      <x:c r="M27" s="167" t="n">
        <x:v>46240</x:v>
      </x:c>
      <x:c r="N27" s="167" t="str">
        <x:v>黄顺吉</x:v>
      </x:c>
      <x:c r="O27" s="167" t="str">
        <x:v>51-验证</x:v>
      </x:c>
      <x:c r="P27" s="167" t="n">
        <x:v>46240</x:v>
      </x:c>
      <x:c r="Q27" s="167" t="n">
        <x:v>46262</x:v>
      </x:c>
      <x:c r="R27" s="167"/>
      <x:c r="S27" s="156" t="str">
        <x:v>已完成导入，等待仓储确认尾差。</x:v>
      </x:c>
      <x:c r="T27" s="156" t="str">
        <x:v>示例数据：用于 IT管理部工作台 V1 演示，不代表真实生产、项目或服务状态。</x:v>
      </x:c>
      <x:c r="U27" s="165" t="n">
        <x:v>0</x:v>
      </x:c>
      <x:c r="V27" s="165"/>
      <x:c r="W27" s="165"/>
    </x:row>
    <x:row r="28" ht="36" customHeight="1">
      <x:c r="A28" s="163" t="n">
        <x:v>27</x:v>
      </x:c>
      <x:c r="B28" s="165" t="str">
        <x:v>02-Incident</x:v>
      </x:c>
      <x:c r="C28" s="165" t="str">
        <x:v>02-U9C</x:v>
      </x:c>
      <x:c r="D28" s="165" t="str">
        <x:v>D02-Weilai</x:v>
      </x:c>
      <x:c r="E28" s="165" t="str">
        <x:v>20-中</x:v>
      </x:c>
      <x:c r="F28" s="165" t="str">
        <x:v>10-高</x:v>
      </x:c>
      <x:c r="G28" s="165" t="str">
        <x:v>P2</x:v>
      </x:c>
      <x:c r="H28" s="156" t="str">
        <x:v>ERP采购入库单审批流卡滞</x:v>
      </x:c>
      <x:c r="I28" s="156" t="str">
        <x:v>试运行采购入库单提交后未进入下一节点。</x:v>
      </x:c>
      <x:c r="J28" s="156" t="str">
        <x:v>03-诸暨2厂</x:v>
      </x:c>
      <x:c r="K28" s="156" t="str">
        <x:v>采购部</x:v>
      </x:c>
      <x:c r="L28" s="156" t="str">
        <x:v>黄顺吉</x:v>
      </x:c>
      <x:c r="M28" s="167" t="n">
        <x:v>46250</x:v>
      </x:c>
      <x:c r="N28" s="167" t="str">
        <x:v>黄顺吉</x:v>
      </x:c>
      <x:c r="O28" s="167" t="str">
        <x:v>61-关闭</x:v>
      </x:c>
      <x:c r="P28" s="167" t="n">
        <x:v>46250</x:v>
      </x:c>
      <x:c r="Q28" s="167" t="n">
        <x:v>46250</x:v>
      </x:c>
      <x:c r="R28" s="167" t="n">
        <x:v>46250</x:v>
      </x:c>
      <x:c r="S28" s="156" t="str">
        <x:v>修复审批角色映射并完成回归测试。</x:v>
      </x:c>
      <x:c r="T28" s="156" t="str">
        <x:v>示例数据：用于 IT管理部工作台 V1 演示，不代表真实生产、项目或服务状态。</x:v>
      </x:c>
      <x:c r="U28" s="165" t="n">
        <x:v>0</x:v>
      </x:c>
      <x:c r="V28" s="165" t="n">
        <x:v>0</x:v>
      </x:c>
      <x:c r="W28" s="165" t="n">
        <x:v>0</x:v>
      </x:c>
    </x:row>
    <x:row r="29" ht="36" customHeight="1">
      <x:c r="A29" s="163" t="n">
        <x:v>28</x:v>
      </x:c>
      <x:c r="B29" s="165" t="str">
        <x:v>03-Problem</x:v>
      </x:c>
      <x:c r="C29" s="165" t="str">
        <x:v>02-U9C</x:v>
      </x:c>
      <x:c r="D29" s="165" t="str">
        <x:v>D02-Weilai</x:v>
      </x:c>
      <x:c r="E29" s="165" t="str">
        <x:v>20-中</x:v>
      </x:c>
      <x:c r="F29" s="165" t="str">
        <x:v>20-中</x:v>
      </x:c>
      <x:c r="G29" s="165" t="str">
        <x:v>P2</x:v>
      </x:c>
      <x:c r="H29" s="156" t="str">
        <x:v>ERP成本中心取数与财务报表不一致</x:v>
      </x:c>
      <x:c r="I29" s="156" t="str">
        <x:v>部分生产成本归集未按新组织架构分配。</x:v>
      </x:c>
      <x:c r="J29" s="156" t="str">
        <x:v>03-诸暨2厂</x:v>
      </x:c>
      <x:c r="K29" s="156" t="str">
        <x:v>财务部</x:v>
      </x:c>
      <x:c r="L29" s="156" t="str">
        <x:v>黄顺吉</x:v>
      </x:c>
      <x:c r="M29" s="167" t="n">
        <x:v>46252</x:v>
      </x:c>
      <x:c r="N29" s="167" t="str">
        <x:v>黄顺吉</x:v>
      </x:c>
      <x:c r="O29" s="167" t="str">
        <x:v>31-评估</x:v>
      </x:c>
      <x:c r="P29" s="167" t="n">
        <x:v>46252</x:v>
      </x:c>
      <x:c r="Q29" s="167" t="n">
        <x:v>46269</x:v>
      </x:c>
      <x:c r="R29" s="167"/>
      <x:c r="S29" s="156" t="str">
        <x:v>正在复核成本中心映射与期初余额。</x:v>
      </x:c>
      <x:c r="T29" s="156" t="str">
        <x:v>示例数据：用于 IT管理部工作台 V1 演示，不代表真实生产、项目或服务状态。</x:v>
      </x:c>
      <x:c r="U29" s="165" t="n">
        <x:v>0</x:v>
      </x:c>
      <x:c r="V29" s="165"/>
      <x:c r="W29" s="165"/>
    </x:row>
    <x:row r="30" ht="36" customHeight="1">
      <x:c r="A30" s="163" t="n">
        <x:v>29</x:v>
      </x:c>
      <x:c r="B30" s="165" t="str">
        <x:v>04-Request</x:v>
      </x:c>
      <x:c r="C30" s="165" t="str">
        <x:v>02-U9C</x:v>
      </x:c>
      <x:c r="D30" s="165" t="str">
        <x:v>D02-Weilai</x:v>
      </x:c>
      <x:c r="E30" s="165" t="str">
        <x:v>30-低</x:v>
      </x:c>
      <x:c r="F30" s="165" t="str">
        <x:v>20-中</x:v>
      </x:c>
      <x:c r="G30" s="165" t="str">
        <x:v>P3</x:v>
      </x:c>
      <x:c r="H30" s="156" t="str">
        <x:v>ERP试运行异常单据查询看板</x:v>
      </x:c>
      <x:c r="I30" s="156" t="str">
        <x:v>业务申请按工厂、部门和单据状态快速查询异常单据。</x:v>
      </x:c>
      <x:c r="J30" s="156" t="str">
        <x:v>03-诸暨2厂</x:v>
      </x:c>
      <x:c r="K30" s="156" t="str">
        <x:v>财务部</x:v>
      </x:c>
      <x:c r="L30" s="156" t="str">
        <x:v>黄顺吉</x:v>
      </x:c>
      <x:c r="M30" s="167" t="n">
        <x:v>46254</x:v>
      </x:c>
      <x:c r="N30" s="167" t="str">
        <x:v>黄顺吉</x:v>
      </x:c>
      <x:c r="O30" s="167" t="str">
        <x:v>21-接受</x:v>
      </x:c>
      <x:c r="P30" s="167" t="n">
        <x:v>46254</x:v>
      </x:c>
      <x:c r="Q30" s="167" t="n">
        <x:v>46281</x:v>
      </x:c>
      <x:c r="R30" s="167"/>
      <x:c r="S30" s="156" t="str">
        <x:v>已接收需求，待梳理看板字段。</x:v>
      </x:c>
      <x:c r="T30" s="156" t="str">
        <x:v>示例数据：用于 IT管理部工作台 V1 演示，不代表真实生产、项目或服务状态。</x:v>
      </x:c>
      <x:c r="U30" s="165" t="n">
        <x:v>0</x:v>
      </x:c>
      <x:c r="V30" s="165"/>
      <x:c r="W30" s="165"/>
    </x:row>
    <x:row r="31" ht="36" customHeight="1">
      <x:c r="A31" s="163" t="n">
        <x:v>30</x:v>
      </x:c>
      <x:c r="B31" s="165" t="str">
        <x:v>01-Task</x:v>
      </x:c>
      <x:c r="C31" s="165" t="str">
        <x:v>02-U9C</x:v>
      </x:c>
      <x:c r="D31" s="165" t="str">
        <x:v>D02-Weilai</x:v>
      </x:c>
      <x:c r="E31" s="165" t="str">
        <x:v>20-中</x:v>
      </x:c>
      <x:c r="F31" s="165" t="str">
        <x:v>20-中</x:v>
      </x:c>
      <x:c r="G31" s="165" t="str">
        <x:v>P2</x:v>
      </x:c>
      <x:c r="H31" s="156" t="str">
        <x:v>ERP上线用户权限矩阵核对</x:v>
      </x:c>
      <x:c r="I31" s="156" t="str">
        <x:v>核对采购、仓储、财务及生产计划角色权限，避免越权。</x:v>
      </x:c>
      <x:c r="J31" s="156" t="str">
        <x:v>03-诸暨2厂</x:v>
      </x:c>
      <x:c r="K31" s="156" t="str">
        <x:v>人力资源部</x:v>
      </x:c>
      <x:c r="L31" s="156" t="str">
        <x:v>黄顺吉</x:v>
      </x:c>
      <x:c r="M31" s="167" t="n">
        <x:v>46256</x:v>
      </x:c>
      <x:c r="N31" s="167" t="str">
        <x:v>黄顺吉</x:v>
      </x:c>
      <x:c r="O31" s="167" t="str">
        <x:v>41-处理</x:v>
      </x:c>
      <x:c r="P31" s="167" t="n">
        <x:v>46256</x:v>
      </x:c>
      <x:c r="Q31" s="167" t="n">
        <x:v>46266</x:v>
      </x:c>
      <x:c r="R31" s="167"/>
      <x:c r="S31" s="156" t="str">
        <x:v>已完成部门初核，待财务负责人确认。</x:v>
      </x:c>
      <x:c r="T31" s="156" t="str">
        <x:v>示例数据：用于 IT管理部工作台 V1 演示，不代表真实生产、项目或服务状态。</x:v>
      </x:c>
      <x:c r="U31" s="165" t="n">
        <x:v>0</x:v>
      </x:c>
      <x:c r="V31" s="165"/>
      <x:c r="W31" s="165"/>
    </x:row>
    <x:row r="32" ht="36" customHeight="1">
      <x:c r="A32" s="163" t="n">
        <x:v>31</x:v>
      </x:c>
      <x:c r="B32" s="165" t="str">
        <x:v>01-Task</x:v>
      </x:c>
      <x:c r="C32" s="165" t="str">
        <x:v>02-U9C</x:v>
      </x:c>
      <x:c r="D32" s="165" t="str">
        <x:v>D02-Weilai</x:v>
      </x:c>
      <x:c r="E32" s="165" t="str">
        <x:v>20-中</x:v>
      </x:c>
      <x:c r="F32" s="165" t="str">
        <x:v>20-中</x:v>
      </x:c>
      <x:c r="G32" s="165" t="str">
        <x:v>P2</x:v>
      </x:c>
      <x:c r="H32" s="156" t="str">
        <x:v>ERP月结演练与异常清单闭环</x:v>
      </x:c>
      <x:c r="I32" s="156" t="str">
        <x:v>模拟月末关账、成本结转和报表出具，汇总异常项。</x:v>
      </x:c>
      <x:c r="J32" s="156" t="str">
        <x:v>03-诸暨2厂</x:v>
      </x:c>
      <x:c r="K32" s="156" t="str">
        <x:v>财务部</x:v>
      </x:c>
      <x:c r="L32" s="156" t="str">
        <x:v>黄顺吉</x:v>
      </x:c>
      <x:c r="M32" s="167" t="n">
        <x:v>46258</x:v>
      </x:c>
      <x:c r="N32" s="167" t="str">
        <x:v>黄顺吉</x:v>
      </x:c>
      <x:c r="O32" s="167" t="str">
        <x:v>41-处理</x:v>
      </x:c>
      <x:c r="P32" s="167" t="n">
        <x:v>46258</x:v>
      </x:c>
      <x:c r="Q32" s="167" t="n">
        <x:v>46272</x:v>
      </x:c>
      <x:c r="R32" s="167"/>
      <x:c r="S32" s="156" t="str">
        <x:v>已完成首轮演练，正在处理两项报表差异。</x:v>
      </x:c>
      <x:c r="T32" s="156" t="str">
        <x:v>示例数据：用于 IT管理部工作台 V1 演示，不代表真实生产、项目或服务状态。</x:v>
      </x:c>
      <x:c r="U32" s="165" t="n">
        <x:v>0</x:v>
      </x:c>
      <x:c r="V32" s="165"/>
      <x:c r="W32" s="165"/>
    </x:row>
    <x:row r="33" ht="36" customHeight="1">
      <x:c r="A33" s="163" t="n">
        <x:v>32</x:v>
      </x:c>
      <x:c r="B33" s="165" t="str">
        <x:v>02-Incident</x:v>
      </x:c>
      <x:c r="C33" s="165" t="str">
        <x:v>02-U9C</x:v>
      </x:c>
      <x:c r="D33" s="165" t="str">
        <x:v>D02-Weilai</x:v>
      </x:c>
      <x:c r="E33" s="165" t="str">
        <x:v>20-中</x:v>
      </x:c>
      <x:c r="F33" s="165" t="str">
        <x:v>20-中</x:v>
      </x:c>
      <x:c r="G33" s="165" t="str">
        <x:v>P2</x:v>
      </x:c>
      <x:c r="H33" s="156" t="str">
        <x:v>ERP销售出库接口重复推送</x:v>
      </x:c>
      <x:c r="I33" s="156" t="str">
        <x:v>WMS回传ERP的出库记录出现重复单据。</x:v>
      </x:c>
      <x:c r="J33" s="156" t="str">
        <x:v>03-诸暨2厂</x:v>
      </x:c>
      <x:c r="K33" s="156" t="str">
        <x:v>物流中心</x:v>
      </x:c>
      <x:c r="L33" s="156" t="str">
        <x:v>黄顺吉</x:v>
      </x:c>
      <x:c r="M33" s="167" t="n">
        <x:v>46260</x:v>
      </x:c>
      <x:c r="N33" s="167" t="str">
        <x:v>黄顺吉</x:v>
      </x:c>
      <x:c r="O33" s="167" t="str">
        <x:v>11-提出-技术澄清</x:v>
      </x:c>
      <x:c r="P33" s="167"/>
      <x:c r="Q33" s="167" t="n">
        <x:v>46267</x:v>
      </x:c>
      <x:c r="R33" s="167"/>
      <x:c r="S33" s="156" t="str">
        <x:v>待WMS厂商提供接口幂等处理说明。</x:v>
      </x:c>
      <x:c r="T33" s="156" t="str">
        <x:v>示例数据：用于 IT管理部工作台 V1 演示，不代表真实生产、项目或服务状态。</x:v>
      </x:c>
      <x:c r="U33" s="165"/>
      <x:c r="V33" s="165"/>
      <x:c r="W33" s="165"/>
    </x:row>
    <x:row r="34" ht="36" customHeight="1">
      <x:c r="A34" s="163" t="n">
        <x:v>33</x:v>
      </x:c>
      <x:c r="B34" s="165" t="str">
        <x:v>01-Task</x:v>
      </x:c>
      <x:c r="C34" s="165" t="str">
        <x:v>06-Workplace</x:v>
      </x:c>
      <x:c r="D34" s="165" t="str">
        <x:v>D02-Weilai</x:v>
      </x:c>
      <x:c r="E34" s="165" t="str">
        <x:v>20-中</x:v>
      </x:c>
      <x:c r="F34" s="165" t="str">
        <x:v>10-高</x:v>
      </x:c>
      <x:c r="G34" s="165" t="str">
        <x:v>P2</x:v>
      </x:c>
      <x:c r="H34" s="156" t="str">
        <x:v>ERP上线财务办公终端环境检查</x:v>
      </x:c>
      <x:c r="I34" s="156" t="str">
        <x:v>检查财务、采购及仓储关键岗位的电脑、打印机与网络配置。</x:v>
      </x:c>
      <x:c r="J34" s="156" t="str">
        <x:v>03-诸暨2厂</x:v>
      </x:c>
      <x:c r="K34" s="156" t="str">
        <x:v>财务部</x:v>
      </x:c>
      <x:c r="L34" s="156" t="str">
        <x:v>周航帅</x:v>
      </x:c>
      <x:c r="M34" s="167" t="n">
        <x:v>46239</x:v>
      </x:c>
      <x:c r="N34" s="167" t="str">
        <x:v>周航帅</x:v>
      </x:c>
      <x:c r="O34" s="167" t="str">
        <x:v>61-关闭</x:v>
      </x:c>
      <x:c r="P34" s="167" t="n">
        <x:v>46239</x:v>
      </x:c>
      <x:c r="Q34" s="167" t="n">
        <x:v>46246</x:v>
      </x:c>
      <x:c r="R34" s="167" t="n">
        <x:v>46245</x:v>
      </x:c>
      <x:c r="S34" s="156" t="str">
        <x:v>终端与外设检查完成，问题设备已更换。</x:v>
      </x:c>
      <x:c r="T34" s="156" t="str">
        <x:v>示例数据：用于 IT管理部工作台 V1 演示，不代表真实生产、项目或服务状态。</x:v>
      </x:c>
      <x:c r="U34" s="165" t="n">
        <x:v>0</x:v>
      </x:c>
      <x:c r="V34" s="165" t="n">
        <x:v>1</x:v>
      </x:c>
      <x:c r="W34" s="165" t="n">
        <x:v>6</x:v>
      </x:c>
    </x:row>
    <x:row r="35" ht="36" customHeight="1">
      <x:c r="A35" s="163" t="n">
        <x:v>34</x:v>
      </x:c>
      <x:c r="B35" s="165" t="str">
        <x:v>01-Task</x:v>
      </x:c>
      <x:c r="C35" s="165" t="str">
        <x:v>09-Network</x:v>
      </x:c>
      <x:c r="D35" s="165" t="str">
        <x:v>D02-Weilai</x:v>
      </x:c>
      <x:c r="E35" s="165" t="str">
        <x:v>10-高</x:v>
      </x:c>
      <x:c r="F35" s="165" t="str">
        <x:v>20-中</x:v>
      </x:c>
      <x:c r="G35" s="165" t="str">
        <x:v>P1</x:v>
      </x:c>
      <x:c r="H35" s="156" t="str">
        <x:v>MES车间无线覆盖补点</x:v>
      </x:c>
      <x:c r="I35" s="156" t="str">
        <x:v>试运行区域新增移动PDA，需要补充无线AP和漫游优化。</x:v>
      </x:c>
      <x:c r="J35" s="156" t="str">
        <x:v>03-诸暨2厂</x:v>
      </x:c>
      <x:c r="K35" s="156" t="str">
        <x:v>生产部</x:v>
      </x:c>
      <x:c r="L35" s="156" t="str">
        <x:v>周航帅</x:v>
      </x:c>
      <x:c r="M35" s="167" t="n">
        <x:v>46246</x:v>
      </x:c>
      <x:c r="N35" s="167" t="str">
        <x:v>周航帅</x:v>
      </x:c>
      <x:c r="O35" s="167" t="str">
        <x:v>41-处理</x:v>
      </x:c>
      <x:c r="P35" s="167" t="n">
        <x:v>46246</x:v>
      </x:c>
      <x:c r="Q35" s="167" t="n">
        <x:v>46264</x:v>
      </x:c>
      <x:c r="R35" s="167"/>
      <x:c r="S35" s="156" t="str">
        <x:v>已完成现场勘测，等待AP到货安装。</x:v>
      </x:c>
      <x:c r="T35" s="156" t="str">
        <x:v>示例数据：用于 IT管理部工作台 V1 演示，不代表真实生产、项目或服务状态。</x:v>
      </x:c>
      <x:c r="U35" s="165" t="n">
        <x:v>0</x:v>
      </x:c>
      <x:c r="V35" s="165"/>
      <x:c r="W35" s="165"/>
    </x:row>
    <x:row r="36" ht="36" customHeight="1">
      <x:c r="A36" s="163" t="n">
        <x:v>35</x:v>
      </x:c>
      <x:c r="B36" s="165" t="str">
        <x:v>02-Incident</x:v>
      </x:c>
      <x:c r="C36" s="165" t="str">
        <x:v>09-Network</x:v>
      </x:c>
      <x:c r="D36" s="165" t="str">
        <x:v>D02-Weilai</x:v>
      </x:c>
      <x:c r="E36" s="165" t="str">
        <x:v>20-中</x:v>
      </x:c>
      <x:c r="F36" s="165" t="str">
        <x:v>10-高</x:v>
      </x:c>
      <x:c r="G36" s="165" t="str">
        <x:v>P2</x:v>
      </x:c>
      <x:c r="H36" s="156" t="str">
        <x:v>ERP测试环境DNS解析异常</x:v>
      </x:c>
      <x:c r="I36" s="156" t="str">
        <x:v>部分办公终端访问ERP测试地址解析到旧服务器。</x:v>
      </x:c>
      <x:c r="J36" s="156" t="str">
        <x:v>03-诸暨2厂</x:v>
      </x:c>
      <x:c r="K36" s="156" t="str">
        <x:v>IT管理部</x:v>
      </x:c>
      <x:c r="L36" s="156" t="str">
        <x:v>周航帅</x:v>
      </x:c>
      <x:c r="M36" s="167" t="n">
        <x:v>46253</x:v>
      </x:c>
      <x:c r="N36" s="167" t="str">
        <x:v>周航帅</x:v>
      </x:c>
      <x:c r="O36" s="167" t="str">
        <x:v>61-关闭</x:v>
      </x:c>
      <x:c r="P36" s="167" t="n">
        <x:v>46253</x:v>
      </x:c>
      <x:c r="Q36" s="167" t="n">
        <x:v>46253</x:v>
      </x:c>
      <x:c r="R36" s="167" t="n">
        <x:v>46253</x:v>
      </x:c>
      <x:c r="S36" s="156" t="str">
        <x:v>刷新DNS记录并清理客户端缓存后恢复。</x:v>
      </x:c>
      <x:c r="T36" s="156" t="str">
        <x:v>示例数据：用于 IT管理部工作台 V1 演示，不代表真实生产、项目或服务状态。</x:v>
      </x:c>
      <x:c r="U36" s="165" t="n">
        <x:v>0</x:v>
      </x:c>
      <x:c r="V36" s="165" t="n">
        <x:v>0</x:v>
      </x:c>
      <x:c r="W36" s="165" t="n">
        <x:v>0</x:v>
      </x:c>
    </x:row>
    <x:row r="37" ht="36" customHeight="1">
      <x:c r="A37" s="163" t="n">
        <x:v>36</x:v>
      </x:c>
      <x:c r="B37" s="165" t="str">
        <x:v>03-Problem</x:v>
      </x:c>
      <x:c r="C37" s="165" t="str">
        <x:v>06-Workplace</x:v>
      </x:c>
      <x:c r="D37" s="165" t="str">
        <x:v>D02-Weilai</x:v>
      </x:c>
      <x:c r="E37" s="165" t="str">
        <x:v>20-中</x:v>
      </x:c>
      <x:c r="F37" s="165" t="str">
        <x:v>20-中</x:v>
      </x:c>
      <x:c r="G37" s="165" t="str">
        <x:v>P2</x:v>
      </x:c>
      <x:c r="H37" s="156" t="str">
        <x:v>MES工控机磁盘空间预警</x:v>
      </x:c>
      <x:c r="I37" s="156" t="str">
        <x:v>试运行数据缓存占用过快，部分工控机磁盘低于20%。</x:v>
      </x:c>
      <x:c r="J37" s="156" t="str">
        <x:v>03-诸暨2厂</x:v>
      </x:c>
      <x:c r="K37" s="156" t="str">
        <x:v>生产部</x:v>
      </x:c>
      <x:c r="L37" s="156" t="str">
        <x:v>周航帅</x:v>
      </x:c>
      <x:c r="M37" s="167" t="n">
        <x:v>46255</x:v>
      </x:c>
      <x:c r="N37" s="167" t="str">
        <x:v>周航帅</x:v>
      </x:c>
      <x:c r="O37" s="167" t="str">
        <x:v>41-处理</x:v>
      </x:c>
      <x:c r="P37" s="167" t="n">
        <x:v>46255</x:v>
      </x:c>
      <x:c r="Q37" s="167" t="n">
        <x:v>46268</x:v>
      </x:c>
      <x:c r="R37" s="167"/>
      <x:c r="S37" s="156" t="str">
        <x:v>正在清理历史日志并扩容两台关键工控机。</x:v>
      </x:c>
      <x:c r="T37" s="156" t="str">
        <x:v>示例数据：用于 IT管理部工作台 V1 演示，不代表真实生产、项目或服务状态。</x:v>
      </x:c>
      <x:c r="U37" s="165" t="n">
        <x:v>0</x:v>
      </x:c>
      <x:c r="V37" s="165"/>
      <x:c r="W37" s="165"/>
    </x:row>
    <x:row r="38" ht="36" customHeight="1">
      <x:c r="A38" s="163" t="n">
        <x:v>37</x:v>
      </x:c>
      <x:c r="B38" s="165" t="str">
        <x:v>04-Request</x:v>
      </x:c>
      <x:c r="C38" s="165" t="str">
        <x:v>09-Network</x:v>
      </x:c>
      <x:c r="D38" s="165" t="str">
        <x:v>D02-Weilai</x:v>
      </x:c>
      <x:c r="E38" s="165" t="str">
        <x:v>20-中</x:v>
      </x:c>
      <x:c r="F38" s="165" t="str">
        <x:v>20-中</x:v>
      </x:c>
      <x:c r="G38" s="165" t="str">
        <x:v>P2</x:v>
      </x:c>
      <x:c r="H38" s="156" t="str">
        <x:v>上线会议室远程支持网络优化</x:v>
      </x:c>
      <x:c r="I38" s="156" t="str">
        <x:v>上线期间远程厂商支持会议需要稳定的视频和屏幕共享网络。</x:v>
      </x:c>
      <x:c r="J38" s="156" t="str">
        <x:v>03-诸暨2厂</x:v>
      </x:c>
      <x:c r="K38" s="156" t="str">
        <x:v>IT管理部</x:v>
      </x:c>
      <x:c r="L38" s="156" t="str">
        <x:v>周航帅</x:v>
      </x:c>
      <x:c r="M38" s="167" t="n">
        <x:v>46256</x:v>
      </x:c>
      <x:c r="N38" s="167" t="str">
        <x:v>周航帅</x:v>
      </x:c>
      <x:c r="O38" s="167" t="str">
        <x:v>21-接受</x:v>
      </x:c>
      <x:c r="P38" s="167" t="n">
        <x:v>46256</x:v>
      </x:c>
      <x:c r="Q38" s="167" t="n">
        <x:v>46274</x:v>
      </x:c>
      <x:c r="R38" s="167"/>
      <x:c r="S38" s="156" t="str">
        <x:v>已接收需求，待确认会议室使用时段。</x:v>
      </x:c>
      <x:c r="T38" s="156" t="str">
        <x:v>示例数据：用于 IT管理部工作台 V1 演示，不代表真实生产、项目或服务状态。</x:v>
      </x:c>
      <x:c r="U38" s="165" t="n">
        <x:v>0</x:v>
      </x:c>
      <x:c r="V38" s="165"/>
      <x:c r="W38" s="165"/>
    </x:row>
    <x:row r="39" ht="36" customHeight="1">
      <x:c r="A39" s="163" t="n">
        <x:v>38</x:v>
      </x:c>
      <x:c r="B39" s="165" t="str">
        <x:v>01-Task</x:v>
      </x:c>
      <x:c r="C39" s="165" t="str">
        <x:v>05-Security</x:v>
      </x:c>
      <x:c r="D39" s="165" t="str">
        <x:v>D02-Weilai</x:v>
      </x:c>
      <x:c r="E39" s="165" t="str">
        <x:v>20-中</x:v>
      </x:c>
      <x:c r="F39" s="165" t="str">
        <x:v>20-中</x:v>
      </x:c>
      <x:c r="G39" s="165" t="str">
        <x:v>P2</x:v>
      </x:c>
      <x:c r="H39" s="156" t="str">
        <x:v>车间网络设备配置备份</x:v>
      </x:c>
      <x:c r="I39" s="156" t="str">
        <x:v>备份MES上线涉及的核心交换机、无线控制器和防火墙配置。</x:v>
      </x:c>
      <x:c r="J39" s="156" t="str">
        <x:v>03-诸暨2厂</x:v>
      </x:c>
      <x:c r="K39" s="156" t="str">
        <x:v>IT管理部</x:v>
      </x:c>
      <x:c r="L39" s="156" t="str">
        <x:v>周航帅</x:v>
      </x:c>
      <x:c r="M39" s="167" t="n">
        <x:v>46257</x:v>
      </x:c>
      <x:c r="N39" s="167" t="str">
        <x:v>周航帅</x:v>
      </x:c>
      <x:c r="O39" s="167" t="str">
        <x:v>51-验证</x:v>
      </x:c>
      <x:c r="P39" s="167" t="n">
        <x:v>46257</x:v>
      </x:c>
      <x:c r="Q39" s="167" t="n">
        <x:v>46263</x:v>
      </x:c>
      <x:c r="R39" s="167"/>
      <x:c r="S39" s="156" t="str">
        <x:v>备份已完成，待执行恢复可用性抽测。</x:v>
      </x:c>
      <x:c r="T39" s="156" t="str">
        <x:v>示例数据：用于 IT管理部工作台 V1 演示，不代表真实生产、项目或服务状态。</x:v>
      </x:c>
      <x:c r="U39" s="165" t="n">
        <x:v>0</x:v>
      </x:c>
      <x:c r="V39" s="165"/>
      <x:c r="W39" s="165"/>
    </x:row>
    <x:row r="40" ht="36" customHeight="1">
      <x:c r="A40" s="163" t="n">
        <x:v>39</x:v>
      </x:c>
      <x:c r="B40" s="165" t="str">
        <x:v>02-Incident</x:v>
      </x:c>
      <x:c r="C40" s="165" t="str">
        <x:v>06-Workplace</x:v>
      </x:c>
      <x:c r="D40" s="165" t="str">
        <x:v>D02-Weilai</x:v>
      </x:c>
      <x:c r="E40" s="165" t="str">
        <x:v>30-低</x:v>
      </x:c>
      <x:c r="F40" s="165" t="str">
        <x:v>20-中</x:v>
      </x:c>
      <x:c r="G40" s="165" t="str">
        <x:v>P3</x:v>
      </x:c>
      <x:c r="H40" s="156" t="str">
        <x:v>ERP凭证打印格式偏移</x:v>
      </x:c>
      <x:c r="I40" s="156" t="str">
        <x:v>财务共享打印机输出凭证时页边距异常。</x:v>
      </x:c>
      <x:c r="J40" s="156" t="str">
        <x:v>03-诸暨2厂</x:v>
      </x:c>
      <x:c r="K40" s="156" t="str">
        <x:v>财务部</x:v>
      </x:c>
      <x:c r="L40" s="156" t="str">
        <x:v>周航帅</x:v>
      </x:c>
      <x:c r="M40" s="167" t="n">
        <x:v>46258</x:v>
      </x:c>
      <x:c r="N40" s="167" t="str">
        <x:v>周航帅</x:v>
      </x:c>
      <x:c r="O40" s="167" t="str">
        <x:v>61-关闭</x:v>
      </x:c>
      <x:c r="P40" s="167" t="n">
        <x:v>46258</x:v>
      </x:c>
      <x:c r="Q40" s="167" t="n">
        <x:v>46259</x:v>
      </x:c>
      <x:c r="R40" s="167" t="n">
        <x:v>46259</x:v>
      </x:c>
      <x:c r="S40" s="156" t="str">
        <x:v>统一打印模板和驱动参数后恢复正常。</x:v>
      </x:c>
      <x:c r="T40" s="156" t="str">
        <x:v>示例数据：用于 IT管理部工作台 V1 演示，不代表真实生产、项目或服务状态。</x:v>
      </x:c>
      <x:c r="U40" s="165" t="n">
        <x:v>0</x:v>
      </x:c>
      <x:c r="V40" s="165" t="n">
        <x:v>0</x:v>
      </x:c>
      <x:c r="W40" s="165" t="n">
        <x:v>1</x:v>
      </x:c>
    </x:row>
    <x:row r="41" ht="36" customHeight="1">
      <x:c r="A41" s="163" t="n">
        <x:v>40</x:v>
      </x:c>
      <x:c r="B41" s="165" t="str">
        <x:v>01-Task</x:v>
      </x:c>
      <x:c r="C41" s="165" t="str">
        <x:v>09-Network</x:v>
      </x:c>
      <x:c r="D41" s="165" t="str">
        <x:v>D02-Weilai</x:v>
      </x:c>
      <x:c r="E41" s="165" t="str">
        <x:v>20-中</x:v>
      </x:c>
      <x:c r="F41" s="165" t="str">
        <x:v>20-中</x:v>
      </x:c>
      <x:c r="G41" s="165" t="str">
        <x:v>P2</x:v>
      </x:c>
      <x:c r="H41" s="156" t="str">
        <x:v>硬件备件柜盘点与补货建议</x:v>
      </x:c>
      <x:c r="I41" s="156" t="str">
        <x:v>盘点MES、ERP试运行期间常用网卡、硬盘、扫码枪和电源备件。</x:v>
      </x:c>
      <x:c r="J41" s="156" t="str">
        <x:v>03-诸暨2厂</x:v>
      </x:c>
      <x:c r="K41" s="156" t="str">
        <x:v>IT管理部</x:v>
      </x:c>
      <x:c r="L41" s="156" t="str">
        <x:v>周航帅</x:v>
      </x:c>
      <x:c r="M41" s="167" t="n">
        <x:v>46260</x:v>
      </x:c>
      <x:c r="N41" s="167" t="str">
        <x:v>周航帅</x:v>
      </x:c>
      <x:c r="O41" s="167" t="str">
        <x:v>11-提出-业务澄清</x:v>
      </x:c>
      <x:c r="P41" s="167"/>
      <x:c r="Q41" s="167" t="n">
        <x:v>46277</x:v>
      </x:c>
      <x:c r="R41" s="167"/>
      <x:c r="S41" s="156" t="str">
        <x:v>待确认备件安全库存标准。</x:v>
      </x:c>
      <x:c r="T41" s="156" t="str">
        <x:v>示例数据：用于 IT管理部工作台 V1 演示，不代表真实生产、项目或服务状态。</x:v>
      </x:c>
      <x:c r="U41" s="165"/>
      <x:c r="V41" s="165"/>
      <x:c r="W41" s="165"/>
    </x:row>
    <x:row r="42" ht="36" customHeight="1">
      <x:c r="A42" s="163" t="n">
        <x:v>41</x:v>
      </x:c>
      <x:c r="B42" s="165" t="str">
        <x:v>05-Project</x:v>
      </x:c>
      <x:c r="C42" s="165" t="str">
        <x:v>01-MES</x:v>
      </x:c>
      <x:c r="D42" s="165" t="str">
        <x:v>D03-Xiaopeng</x:v>
      </x:c>
      <x:c r="E42" s="165" t="str">
        <x:v>10-高</x:v>
      </x:c>
      <x:c r="F42" s="165" t="str">
        <x:v>20-中</x:v>
      </x:c>
      <x:c r="G42" s="165" t="str">
        <x:v>P1</x:v>
      </x:c>
      <x:c r="H42" s="156" t="str">
        <x:v>MES诸暨3厂试运行现场支持</x:v>
      </x:c>
      <x:c r="I42" s="156" t="str">
        <x:v>覆盖生产报工、质量采集、设备接口和现场操作问题闭环。</x:v>
      </x:c>
      <x:c r="J42" s="156" t="str">
        <x:v>04-诸暨3厂</x:v>
      </x:c>
      <x:c r="K42" s="156" t="str">
        <x:v>生产部</x:v>
      </x:c>
      <x:c r="L42" s="156" t="str">
        <x:v>翁子淮</x:v>
      </x:c>
      <x:c r="M42" s="167" t="n">
        <x:v>46238</x:v>
      </x:c>
      <x:c r="N42" s="167" t="str">
        <x:v>翁子淮</x:v>
      </x:c>
      <x:c r="O42" s="167" t="str">
        <x:v>41-处理</x:v>
      </x:c>
      <x:c r="P42" s="167" t="n">
        <x:v>46238</x:v>
      </x:c>
      <x:c r="Q42" s="167" t="n">
        <x:v>46267</x:v>
      </x:c>
      <x:c r="R42" s="167"/>
      <x:c r="S42" s="156" t="str">
        <x:v>试运行第1周已完成，持续跟进班组反馈。</x:v>
      </x:c>
      <x:c r="T42" s="156" t="str">
        <x:v>示例数据：用于 IT管理部工作台 V1 演示，不代表真实生产、项目或服务状态。</x:v>
      </x:c>
      <x:c r="U42" s="165" t="n">
        <x:v>0</x:v>
      </x:c>
      <x:c r="V42" s="165"/>
      <x:c r="W42" s="165"/>
    </x:row>
    <x:row r="43" ht="36" customHeight="1">
      <x:c r="A43" s="163" t="n">
        <x:v>42</x:v>
      </x:c>
      <x:c r="B43" s="165" t="str">
        <x:v>04-Request</x:v>
      </x:c>
      <x:c r="C43" s="165" t="str">
        <x:v>02-U9C</x:v>
      </x:c>
      <x:c r="D43" s="165" t="str">
        <x:v>D03-Xiaopeng</x:v>
      </x:c>
      <x:c r="E43" s="165" t="str">
        <x:v>20-中</x:v>
      </x:c>
      <x:c r="F43" s="165" t="str">
        <x:v>20-中</x:v>
      </x:c>
      <x:c r="G43" s="165" t="str">
        <x:v>P2</x:v>
      </x:c>
      <x:c r="H43" s="156" t="str">
        <x:v>ERP生产领料单自动带出批次规则</x:v>
      </x:c>
      <x:c r="I43" s="156" t="str">
        <x:v>根据MES工单回传信息自动推荐可用批次，减少手工选择。</x:v>
      </x:c>
      <x:c r="J43" s="156" t="str">
        <x:v>04-诸暨3厂</x:v>
      </x:c>
      <x:c r="K43" s="156" t="str">
        <x:v>仓储部</x:v>
      </x:c>
      <x:c r="L43" s="156" t="str">
        <x:v>翁子淮</x:v>
      </x:c>
      <x:c r="M43" s="167" t="n">
        <x:v>46241</x:v>
      </x:c>
      <x:c r="N43" s="167" t="str">
        <x:v>翁子淮</x:v>
      </x:c>
      <x:c r="O43" s="167" t="str">
        <x:v>31-评估</x:v>
      </x:c>
      <x:c r="P43" s="167" t="n">
        <x:v>46241</x:v>
      </x:c>
      <x:c r="Q43" s="167" t="n">
        <x:v>46270</x:v>
      </x:c>
      <x:c r="R43" s="167"/>
      <x:c r="S43" s="156" t="str">
        <x:v>正在核对批次管理规则与异常场景。</x:v>
      </x:c>
      <x:c r="T43" s="156" t="str">
        <x:v>示例数据：用于 IT管理部工作台 V1 演示，不代表真实生产、项目或服务状态。</x:v>
      </x:c>
      <x:c r="U43" s="165" t="n">
        <x:v>0</x:v>
      </x:c>
      <x:c r="V43" s="165"/>
      <x:c r="W43" s="165"/>
    </x:row>
    <x:row r="44" ht="36" customHeight="1">
      <x:c r="A44" s="163" t="n">
        <x:v>43</x:v>
      </x:c>
      <x:c r="B44" s="165" t="str">
        <x:v>02-Incident</x:v>
      </x:c>
      <x:c r="C44" s="165" t="str">
        <x:v>01-MES</x:v>
      </x:c>
      <x:c r="D44" s="165" t="str">
        <x:v>D03-Xiaopeng</x:v>
      </x:c>
      <x:c r="E44" s="165" t="str">
        <x:v>20-中</x:v>
      </x:c>
      <x:c r="F44" s="165" t="str">
        <x:v>10-高</x:v>
      </x:c>
      <x:c r="G44" s="165" t="str">
        <x:v>P2</x:v>
      </x:c>
      <x:c r="H44" s="156" t="str">
        <x:v>MES质量检验结果未回写ERP</x:v>
      </x:c>
      <x:c r="I44" s="156" t="str">
        <x:v>试运行样品检验完成后，ERP质检状态未同步更新。</x:v>
      </x:c>
      <x:c r="J44" s="156" t="str">
        <x:v>04-诸暨3厂</x:v>
      </x:c>
      <x:c r="K44" s="156" t="str">
        <x:v>质量部</x:v>
      </x:c>
      <x:c r="L44" s="156" t="str">
        <x:v>翁子淮</x:v>
      </x:c>
      <x:c r="M44" s="167" t="n">
        <x:v>46249</x:v>
      </x:c>
      <x:c r="N44" s="167" t="str">
        <x:v>翁子淮</x:v>
      </x:c>
      <x:c r="O44" s="167" t="str">
        <x:v>61-关闭</x:v>
      </x:c>
      <x:c r="P44" s="167" t="n">
        <x:v>46249</x:v>
      </x:c>
      <x:c r="Q44" s="167" t="n">
        <x:v>46250</x:v>
      </x:c>
      <x:c r="R44" s="167" t="n">
        <x:v>46250</x:v>
      </x:c>
      <x:c r="S44" s="156" t="str">
        <x:v>修复接口字段映射并完成三批次验证。</x:v>
      </x:c>
      <x:c r="T44" s="156" t="str">
        <x:v>示例数据：用于 IT管理部工作台 V1 演示，不代表真实生产、项目或服务状态。</x:v>
      </x:c>
      <x:c r="U44" s="165" t="n">
        <x:v>0</x:v>
      </x:c>
      <x:c r="V44" s="165" t="n">
        <x:v>0</x:v>
      </x:c>
      <x:c r="W44" s="165" t="n">
        <x:v>1</x:v>
      </x:c>
    </x:row>
    <x:row r="45" ht="36" customHeight="1">
      <x:c r="A45" s="163" t="n">
        <x:v>44</x:v>
      </x:c>
      <x:c r="B45" s="165" t="str">
        <x:v>03-Problem</x:v>
      </x:c>
      <x:c r="C45" s="165" t="str">
        <x:v>02-U9C</x:v>
      </x:c>
      <x:c r="D45" s="165" t="str">
        <x:v>D03-Xiaopeng</x:v>
      </x:c>
      <x:c r="E45" s="165" t="str">
        <x:v>20-中</x:v>
      </x:c>
      <x:c r="F45" s="165" t="str">
        <x:v>20-中</x:v>
      </x:c>
      <x:c r="G45" s="165" t="str">
        <x:v>P2</x:v>
      </x:c>
      <x:c r="H45" s="156" t="str">
        <x:v>ERP与MES工单版本号不一致</x:v>
      </x:c>
      <x:c r="I45" s="156" t="str">
        <x:v>工艺变更后部分历史工单仍引用旧版本。</x:v>
      </x:c>
      <x:c r="J45" s="156" t="str">
        <x:v>04-诸暨3厂</x:v>
      </x:c>
      <x:c r="K45" s="156" t="str">
        <x:v>工艺部</x:v>
      </x:c>
      <x:c r="L45" s="156" t="str">
        <x:v>翁子淮</x:v>
      </x:c>
      <x:c r="M45" s="167" t="n">
        <x:v>46252</x:v>
      </x:c>
      <x:c r="N45" s="167" t="str">
        <x:v>翁子淮</x:v>
      </x:c>
      <x:c r="O45" s="167" t="str">
        <x:v>41-处理</x:v>
      </x:c>
      <x:c r="P45" s="167" t="n">
        <x:v>46252</x:v>
      </x:c>
      <x:c r="Q45" s="167" t="n">
        <x:v>46266</x:v>
      </x:c>
      <x:c r="R45" s="167"/>
      <x:c r="S45" s="156" t="str">
        <x:v>已梳理重发机制，正在补充版本校验。</x:v>
      </x:c>
      <x:c r="T45" s="156" t="str">
        <x:v>示例数据：用于 IT管理部工作台 V1 演示，不代表真实生产、项目或服务状态。</x:v>
      </x:c>
      <x:c r="U45" s="165" t="n">
        <x:v>0</x:v>
      </x:c>
      <x:c r="V45" s="165"/>
      <x:c r="W45" s="165"/>
    </x:row>
    <x:row r="46" ht="36" customHeight="1">
      <x:c r="A46" s="163" t="n">
        <x:v>45</x:v>
      </x:c>
      <x:c r="B46" s="165" t="str">
        <x:v>01-Task</x:v>
      </x:c>
      <x:c r="C46" s="165" t="str">
        <x:v>01-MES</x:v>
      </x:c>
      <x:c r="D46" s="165" t="str">
        <x:v>D03-Xiaopeng</x:v>
      </x:c>
      <x:c r="E46" s="165" t="str">
        <x:v>20-中</x:v>
      </x:c>
      <x:c r="F46" s="165" t="str">
        <x:v>20-中</x:v>
      </x:c>
      <x:c r="G46" s="165" t="str">
        <x:v>P2</x:v>
      </x:c>
      <x:c r="H46" s="156" t="str">
        <x:v>MES试运行异常处理SOP编写</x:v>
      </x:c>
      <x:c r="I46" s="156" t="str">
        <x:v>形成工单、设备、接口、主数据四类常见异常的处理步骤。</x:v>
      </x:c>
      <x:c r="J46" s="156" t="str">
        <x:v>04-诸暨3厂</x:v>
      </x:c>
      <x:c r="K46" s="156" t="str">
        <x:v>生产部</x:v>
      </x:c>
      <x:c r="L46" s="156" t="str">
        <x:v>翁子淮</x:v>
      </x:c>
      <x:c r="M46" s="167" t="n">
        <x:v>46254</x:v>
      </x:c>
      <x:c r="N46" s="167" t="str">
        <x:v>翁子淮</x:v>
      </x:c>
      <x:c r="O46" s="167" t="str">
        <x:v>51-验证</x:v>
      </x:c>
      <x:c r="P46" s="167" t="n">
        <x:v>46254</x:v>
      </x:c>
      <x:c r="Q46" s="167" t="n">
        <x:v>46262</x:v>
      </x:c>
      <x:c r="R46" s="167"/>
      <x:c r="S46" s="156" t="str">
        <x:v>SOP初稿已完成，等待现场班组验证。</x:v>
      </x:c>
      <x:c r="T46" s="156" t="str">
        <x:v>示例数据：用于 IT管理部工作台 V1 演示，不代表真实生产、项目或服务状态。</x:v>
      </x:c>
      <x:c r="U46" s="165" t="n">
        <x:v>0</x:v>
      </x:c>
      <x:c r="V46" s="165"/>
      <x:c r="W46" s="165"/>
    </x:row>
    <x:row r="47" ht="36" customHeight="1">
      <x:c r="A47" s="163" t="n">
        <x:v>46</x:v>
      </x:c>
      <x:c r="B47" s="165" t="str">
        <x:v>04-Request</x:v>
      </x:c>
      <x:c r="C47" s="165" t="str">
        <x:v>01-MES</x:v>
      </x:c>
      <x:c r="D47" s="165" t="str">
        <x:v>D03-Xiaopeng</x:v>
      </x:c>
      <x:c r="E47" s="165" t="str">
        <x:v>30-低</x:v>
      </x:c>
      <x:c r="F47" s="165" t="str">
        <x:v>20-中</x:v>
      </x:c>
      <x:c r="G47" s="165" t="str">
        <x:v>P3</x:v>
      </x:c>
      <x:c r="H47" s="156" t="str">
        <x:v>MES班组看板增加达成率提示</x:v>
      </x:c>
      <x:c r="I47" s="156" t="str">
        <x:v>业务申请在班组看板中显示计划与实际产出差异。</x:v>
      </x:c>
      <x:c r="J47" s="156" t="str">
        <x:v>04-诸暨3厂</x:v>
      </x:c>
      <x:c r="K47" s="156" t="str">
        <x:v>生产部</x:v>
      </x:c>
      <x:c r="L47" s="156" t="str">
        <x:v>翁子淮</x:v>
      </x:c>
      <x:c r="M47" s="167" t="n">
        <x:v>46256</x:v>
      </x:c>
      <x:c r="N47" s="167" t="str">
        <x:v>翁子淮</x:v>
      </x:c>
      <x:c r="O47" s="167" t="str">
        <x:v>21-接受</x:v>
      </x:c>
      <x:c r="P47" s="167" t="n">
        <x:v>46256</x:v>
      </x:c>
      <x:c r="Q47" s="167" t="n">
        <x:v>46283</x:v>
      </x:c>
      <x:c r="R47" s="167"/>
      <x:c r="S47" s="156" t="str">
        <x:v>已接收需求，待确认计算口径。</x:v>
      </x:c>
      <x:c r="T47" s="156" t="str">
        <x:v>示例数据：用于 IT管理部工作台 V1 演示，不代表真实生产、项目或服务状态。</x:v>
      </x:c>
      <x:c r="U47" s="165" t="n">
        <x:v>0</x:v>
      </x:c>
      <x:c r="V47" s="165"/>
      <x:c r="W47" s="165"/>
    </x:row>
    <x:row r="48" ht="36" customHeight="1">
      <x:c r="A48" s="163" t="n">
        <x:v>47</x:v>
      </x:c>
      <x:c r="B48" s="165" t="str">
        <x:v>01-Task</x:v>
      </x:c>
      <x:c r="C48" s="165" t="str">
        <x:v>02-U9C</x:v>
      </x:c>
      <x:c r="D48" s="165" t="str">
        <x:v>D03-Xiaopeng</x:v>
      </x:c>
      <x:c r="E48" s="165" t="str">
        <x:v>20-中</x:v>
      </x:c>
      <x:c r="F48" s="165" t="str">
        <x:v>10-高</x:v>
      </x:c>
      <x:c r="G48" s="165" t="str">
        <x:v>P2</x:v>
      </x:c>
      <x:c r="H48" s="156" t="str">
        <x:v>ERP上线前客户与供应商主数据清洗</x:v>
      </x:c>
      <x:c r="I48" s="156" t="str">
        <x:v>清理重复往来单位、失效地址和未维护税码，降低切换风险。</x:v>
      </x:c>
      <x:c r="J48" s="156" t="str">
        <x:v>04-诸暨3厂</x:v>
      </x:c>
      <x:c r="K48" s="156" t="str">
        <x:v>采购部</x:v>
      </x:c>
      <x:c r="L48" s="156" t="str">
        <x:v>翁子淮</x:v>
      </x:c>
      <x:c r="M48" s="167" t="n">
        <x:v>46258</x:v>
      </x:c>
      <x:c r="N48" s="167" t="str">
        <x:v>翁子淮</x:v>
      </x:c>
      <x:c r="O48" s="167" t="str">
        <x:v>41-处理</x:v>
      </x:c>
      <x:c r="P48" s="167" t="n">
        <x:v>46258</x:v>
      </x:c>
      <x:c r="Q48" s="167" t="n">
        <x:v>46266</x:v>
      </x:c>
      <x:c r="R48" s="167"/>
      <x:c r="S48" s="156" t="str">
        <x:v>已完成第一批清洗，待业务确认合并规则。</x:v>
      </x:c>
      <x:c r="T48" s="156" t="str">
        <x:v>示例数据：用于 IT管理部工作台 V1 演示，不代表真实生产、项目或服务状态。</x:v>
      </x:c>
      <x:c r="U48" s="165" t="n">
        <x:v>0</x:v>
      </x:c>
      <x:c r="V48" s="165"/>
      <x:c r="W48" s="165"/>
    </x:row>
    <x:row r="49" ht="36" customHeight="1">
      <x:c r="A49" s="163" t="n">
        <x:v>48</x:v>
      </x:c>
      <x:c r="B49" s="165" t="str">
        <x:v>02-Incident</x:v>
      </x:c>
      <x:c r="C49" s="165" t="str">
        <x:v>02-U9C</x:v>
      </x:c>
      <x:c r="D49" s="165" t="str">
        <x:v>D03-Xiaopeng</x:v>
      </x:c>
      <x:c r="E49" s="165" t="str">
        <x:v>20-中</x:v>
      </x:c>
      <x:c r="F49" s="165" t="str">
        <x:v>20-中</x:v>
      </x:c>
      <x:c r="G49" s="165" t="str">
        <x:v>P2</x:v>
      </x:c>
      <x:c r="H49" s="156" t="str">
        <x:v>ERP试运行库存冻结未自动解除</x:v>
      </x:c>
      <x:c r="I49" s="156" t="str">
        <x:v>试运行结束后个别仓库仍无法提交出入库单。</x:v>
      </x:c>
      <x:c r="J49" s="156" t="str">
        <x:v>04-诸暨3厂</x:v>
      </x:c>
      <x:c r="K49" s="156" t="str">
        <x:v>仓储部</x:v>
      </x:c>
      <x:c r="L49" s="156" t="str">
        <x:v>翁子淮</x:v>
      </x:c>
      <x:c r="M49" s="167" t="n">
        <x:v>46260</x:v>
      </x:c>
      <x:c r="N49" s="167" t="str">
        <x:v>翁子淮</x:v>
      </x:c>
      <x:c r="O49" s="167" t="str">
        <x:v>11-提出-业务澄清</x:v>
      </x:c>
      <x:c r="P49" s="167"/>
      <x:c r="Q49" s="167" t="n">
        <x:v>46267</x:v>
      </x:c>
      <x:c r="R49" s="167"/>
      <x:c r="S49" s="156" t="str">
        <x:v>待确认库存冻结解除的授权流程。</x:v>
      </x:c>
      <x:c r="T49" s="156" t="str">
        <x:v>示例数据：用于 IT管理部工作台 V1 演示，不代表真实生产、项目或服务状态。</x:v>
      </x:c>
      <x:c r="U49" s="165"/>
      <x:c r="V49" s="165"/>
      <x:c r="W49" s="165"/>
    </x:row>
    <x:row r="50" ht="36" customHeight="1">
      <x:c r="A50" s="163" t="n">
        <x:v>49</x:v>
      </x:c>
      <x:c r="B50" s="165" t="str">
        <x:v>05-Project</x:v>
      </x:c>
      <x:c r="C50" s="165" t="str">
        <x:v>01-MES</x:v>
      </x:c>
      <x:c r="D50" s="165" t="str">
        <x:v>D04-Geely</x:v>
      </x:c>
      <x:c r="E50" s="165" t="str">
        <x:v>10-高</x:v>
      </x:c>
      <x:c r="F50" s="165" t="str">
        <x:v>10-高</x:v>
      </x:c>
      <x:c r="G50" s="165" t="str">
        <x:v>P1</x:v>
      </x:c>
      <x:c r="H50" s="156" t="str">
        <x:v>MES金晟工厂上线准备与试运行</x:v>
      </x:c>
      <x:c r="I50" s="156" t="str">
        <x:v>完成工厂基础数据、终端部署、报工流程和试运行计划准备。</x:v>
      </x:c>
      <x:c r="J50" s="156" t="str">
        <x:v>05-诸暨金晟</x:v>
      </x:c>
      <x:c r="K50" s="156" t="str">
        <x:v>生产部</x:v>
      </x:c>
      <x:c r="L50" s="156" t="str">
        <x:v>陈维炜</x:v>
      </x:c>
      <x:c r="M50" s="167" t="n">
        <x:v>46236</x:v>
      </x:c>
      <x:c r="N50" s="167" t="str">
        <x:v>陈维炜</x:v>
      </x:c>
      <x:c r="O50" s="167" t="str">
        <x:v>41-处理</x:v>
      </x:c>
      <x:c r="P50" s="167" t="n">
        <x:v>46236</x:v>
      </x:c>
      <x:c r="Q50" s="167" t="n">
        <x:v>46271</x:v>
      </x:c>
      <x:c r="R50" s="167"/>
      <x:c r="S50" s="156" t="str">
        <x:v>已完成现场调研，正推进基础数据导入。</x:v>
      </x:c>
      <x:c r="T50" s="156" t="str">
        <x:v>示例数据：用于 IT管理部工作台 V1 演示，不代表真实生产、项目或服务状态。</x:v>
      </x:c>
      <x:c r="U50" s="165" t="n">
        <x:v>0</x:v>
      </x:c>
      <x:c r="V50" s="165"/>
      <x:c r="W50" s="165"/>
    </x:row>
    <x:row r="51" ht="36" customHeight="1">
      <x:c r="A51" s="163" t="n">
        <x:v>50</x:v>
      </x:c>
      <x:c r="B51" s="165" t="str">
        <x:v>01-Task</x:v>
      </x:c>
      <x:c r="C51" s="165" t="str">
        <x:v>01-MES</x:v>
      </x:c>
      <x:c r="D51" s="165" t="str">
        <x:v>D04-Geely</x:v>
      </x:c>
      <x:c r="E51" s="165" t="str">
        <x:v>20-中</x:v>
      </x:c>
      <x:c r="F51" s="165" t="str">
        <x:v>20-中</x:v>
      </x:c>
      <x:c r="G51" s="165" t="str">
        <x:v>P2</x:v>
      </x:c>
      <x:c r="H51" s="156" t="str">
        <x:v>MES设备编码与工位映射核对</x:v>
      </x:c>
      <x:c r="I51" s="156" t="str">
        <x:v>核对设备台账、工位编号和产线归属关系。</x:v>
      </x:c>
      <x:c r="J51" s="156" t="str">
        <x:v>05-诸暨金晟</x:v>
      </x:c>
      <x:c r="K51" s="156" t="str">
        <x:v>设备动力部</x:v>
      </x:c>
      <x:c r="L51" s="156" t="str">
        <x:v>陈维炜</x:v>
      </x:c>
      <x:c r="M51" s="167" t="n">
        <x:v>46242</x:v>
      </x:c>
      <x:c r="N51" s="167" t="str">
        <x:v>陈维炜</x:v>
      </x:c>
      <x:c r="O51" s="167" t="str">
        <x:v>51-验证</x:v>
      </x:c>
      <x:c r="P51" s="167" t="n">
        <x:v>46242</x:v>
      </x:c>
      <x:c r="Q51" s="167" t="n">
        <x:v>46263</x:v>
      </x:c>
      <x:c r="R51" s="167"/>
      <x:c r="S51" s="156" t="str">
        <x:v>已完成设备台账导入，等待设备部复核。</x:v>
      </x:c>
      <x:c r="T51" s="156" t="str">
        <x:v>示例数据：用于 IT管理部工作台 V1 演示，不代表真实生产、项目或服务状态。</x:v>
      </x:c>
      <x:c r="U51" s="165" t="n">
        <x:v>0</x:v>
      </x:c>
      <x:c r="V51" s="165"/>
      <x:c r="W51" s="165"/>
    </x:row>
    <x:row r="52" ht="36" customHeight="1">
      <x:c r="A52" s="163" t="n">
        <x:v>51</x:v>
      </x:c>
      <x:c r="B52" s="165" t="str">
        <x:v>02-Incident</x:v>
      </x:c>
      <x:c r="C52" s="165" t="str">
        <x:v>01-MES</x:v>
      </x:c>
      <x:c r="D52" s="165" t="str">
        <x:v>D04-Geely</x:v>
      </x:c>
      <x:c r="E52" s="165" t="str">
        <x:v>20-中</x:v>
      </x:c>
      <x:c r="F52" s="165" t="str">
        <x:v>10-高</x:v>
      </x:c>
      <x:c r="G52" s="165" t="str">
        <x:v>P2</x:v>
      </x:c>
      <x:c r="H52" s="156" t="str">
        <x:v>MES首件检验界面无法提交</x:v>
      </x:c>
      <x:c r="I52" s="156" t="str">
        <x:v>部分浏览器版本下首件检验记录提交失败。</x:v>
      </x:c>
      <x:c r="J52" s="156" t="str">
        <x:v>05-诸暨金晟</x:v>
      </x:c>
      <x:c r="K52" s="156" t="str">
        <x:v>质量部</x:v>
      </x:c>
      <x:c r="L52" s="156" t="str">
        <x:v>陈维炜</x:v>
      </x:c>
      <x:c r="M52" s="167" t="n">
        <x:v>46251</x:v>
      </x:c>
      <x:c r="N52" s="167" t="str">
        <x:v>陈维炜</x:v>
      </x:c>
      <x:c r="O52" s="167" t="str">
        <x:v>61-关闭</x:v>
      </x:c>
      <x:c r="P52" s="167" t="n">
        <x:v>46251</x:v>
      </x:c>
      <x:c r="Q52" s="167" t="n">
        <x:v>46251</x:v>
      </x:c>
      <x:c r="R52" s="167" t="n">
        <x:v>46251</x:v>
      </x:c>
      <x:c r="S52" s="156" t="str">
        <x:v>升级前端组件后已恢复，完成现场验证。</x:v>
      </x:c>
      <x:c r="T52" s="156" t="str">
        <x:v>示例数据：用于 IT管理部工作台 V1 演示，不代表真实生产、项目或服务状态。</x:v>
      </x:c>
      <x:c r="U52" s="165" t="n">
        <x:v>0</x:v>
      </x:c>
      <x:c r="V52" s="165" t="n">
        <x:v>0</x:v>
      </x:c>
      <x:c r="W52" s="165" t="n">
        <x:v>0</x:v>
      </x:c>
    </x:row>
    <x:row r="53" ht="36" customHeight="1">
      <x:c r="A53" s="163" t="n">
        <x:v>52</x:v>
      </x:c>
      <x:c r="B53" s="165" t="str">
        <x:v>03-Problem</x:v>
      </x:c>
      <x:c r="C53" s="165" t="str">
        <x:v>01-MES</x:v>
      </x:c>
      <x:c r="D53" s="165" t="str">
        <x:v>D04-Geely</x:v>
      </x:c>
      <x:c r="E53" s="165" t="str">
        <x:v>20-中</x:v>
      </x:c>
      <x:c r="F53" s="165" t="str">
        <x:v>20-中</x:v>
      </x:c>
      <x:c r="G53" s="165" t="str">
        <x:v>P2</x:v>
      </x:c>
      <x:c r="H53" s="156" t="str">
        <x:v>MES工序过站时间统计偏差</x:v>
      </x:c>
      <x:c r="I53" s="156" t="str">
        <x:v>夜班跨日生产导致部分报表工序时长偏差。</x:v>
      </x:c>
      <x:c r="J53" s="156" t="str">
        <x:v>05-诸暨金晟</x:v>
      </x:c>
      <x:c r="K53" s="156" t="str">
        <x:v>生产部</x:v>
      </x:c>
      <x:c r="L53" s="156" t="str">
        <x:v>陈维炜</x:v>
      </x:c>
      <x:c r="M53" s="167" t="n">
        <x:v>46253</x:v>
      </x:c>
      <x:c r="N53" s="167" t="str">
        <x:v>陈维炜</x:v>
      </x:c>
      <x:c r="O53" s="167" t="str">
        <x:v>31-评估</x:v>
      </x:c>
      <x:c r="P53" s="167" t="n">
        <x:v>46253</x:v>
      </x:c>
      <x:c r="Q53" s="167" t="n">
        <x:v>46269</x:v>
      </x:c>
      <x:c r="R53" s="167"/>
      <x:c r="S53" s="156" t="str">
        <x:v>正在复核跨日班次计算规则。</x:v>
      </x:c>
      <x:c r="T53" s="156" t="str">
        <x:v>示例数据：用于 IT管理部工作台 V1 演示，不代表真实生产、项目或服务状态。</x:v>
      </x:c>
      <x:c r="U53" s="165" t="n">
        <x:v>0</x:v>
      </x:c>
      <x:c r="V53" s="165"/>
      <x:c r="W53" s="165"/>
    </x:row>
    <x:row r="54" ht="36" customHeight="1">
      <x:c r="A54" s="163" t="n">
        <x:v>53</x:v>
      </x:c>
      <x:c r="B54" s="165" t="str">
        <x:v>04-Request</x:v>
      </x:c>
      <x:c r="C54" s="165" t="str">
        <x:v>01-MES</x:v>
      </x:c>
      <x:c r="D54" s="165" t="str">
        <x:v>D04-Geely</x:v>
      </x:c>
      <x:c r="E54" s="165" t="str">
        <x:v>30-低</x:v>
      </x:c>
      <x:c r="F54" s="165" t="str">
        <x:v>20-中</x:v>
      </x:c>
      <x:c r="G54" s="165" t="str">
        <x:v>P3</x:v>
      </x:c>
      <x:c r="H54" s="156" t="str">
        <x:v>MES工位终端增加换班提醒</x:v>
      </x:c>
      <x:c r="I54" s="156" t="str">
        <x:v>业务申请在换班前提示未完工工单和异常报工。</x:v>
      </x:c>
      <x:c r="J54" s="156" t="str">
        <x:v>05-诸暨金晟</x:v>
      </x:c>
      <x:c r="K54" s="156" t="str">
        <x:v>生产部</x:v>
      </x:c>
      <x:c r="L54" s="156" t="str">
        <x:v>陈维炜</x:v>
      </x:c>
      <x:c r="M54" s="167" t="n">
        <x:v>46254</x:v>
      </x:c>
      <x:c r="N54" s="167" t="str">
        <x:v>陈维炜</x:v>
      </x:c>
      <x:c r="O54" s="167" t="str">
        <x:v>21-接受</x:v>
      </x:c>
      <x:c r="P54" s="167" t="n">
        <x:v>46254</x:v>
      </x:c>
      <x:c r="Q54" s="167" t="n">
        <x:v>46281</x:v>
      </x:c>
      <x:c r="R54" s="167"/>
      <x:c r="S54" s="156" t="str">
        <x:v>已接收需求，待确认提醒时点。</x:v>
      </x:c>
      <x:c r="T54" s="156" t="str">
        <x:v>示例数据：用于 IT管理部工作台 V1 演示，不代表真实生产、项目或服务状态。</x:v>
      </x:c>
      <x:c r="U54" s="165" t="n">
        <x:v>0</x:v>
      </x:c>
      <x:c r="V54" s="165"/>
      <x:c r="W54" s="165"/>
    </x:row>
    <x:row r="55" ht="36" customHeight="1">
      <x:c r="A55" s="163" t="n">
        <x:v>54</x:v>
      </x:c>
      <x:c r="B55" s="165" t="str">
        <x:v>01-Task</x:v>
      </x:c>
      <x:c r="C55" s="165" t="str">
        <x:v>01-MES</x:v>
      </x:c>
      <x:c r="D55" s="165" t="str">
        <x:v>D04-Geely</x:v>
      </x:c>
      <x:c r="E55" s="165" t="str">
        <x:v>20-中</x:v>
      </x:c>
      <x:c r="F55" s="165" t="str">
        <x:v>10-高</x:v>
      </x:c>
      <x:c r="G55" s="165" t="str">
        <x:v>P2</x:v>
      </x:c>
      <x:c r="H55" s="156" t="str">
        <x:v>MES试运行操作手册本地化</x:v>
      </x:c>
      <x:c r="I55" s="156" t="str">
        <x:v>根据金晟工厂工艺和岗位调整操作手册示例。</x:v>
      </x:c>
      <x:c r="J55" s="156" t="str">
        <x:v>05-诸暨金晟</x:v>
      </x:c>
      <x:c r="K55" s="156" t="str">
        <x:v>生产部</x:v>
      </x:c>
      <x:c r="L55" s="156" t="str">
        <x:v>陈维炜</x:v>
      </x:c>
      <x:c r="M55" s="167" t="n">
        <x:v>46256</x:v>
      </x:c>
      <x:c r="N55" s="167" t="str">
        <x:v>陈维炜</x:v>
      </x:c>
      <x:c r="O55" s="167" t="str">
        <x:v>41-处理</x:v>
      </x:c>
      <x:c r="P55" s="167" t="n">
        <x:v>46256</x:v>
      </x:c>
      <x:c r="Q55" s="167" t="n">
        <x:v>46265</x:v>
      </x:c>
      <x:c r="R55" s="167"/>
      <x:c r="S55" s="156" t="str">
        <x:v>已完成80%，待补充质检岗位章节。</x:v>
      </x:c>
      <x:c r="T55" s="156" t="str">
        <x:v>示例数据：用于 IT管理部工作台 V1 演示，不代表真实生产、项目或服务状态。</x:v>
      </x:c>
      <x:c r="U55" s="165" t="n">
        <x:v>0</x:v>
      </x:c>
      <x:c r="V55" s="165"/>
      <x:c r="W55" s="165"/>
    </x:row>
    <x:row r="56" ht="36" customHeight="1">
      <x:c r="A56" s="163" t="n">
        <x:v>55</x:v>
      </x:c>
      <x:c r="B56" s="165" t="str">
        <x:v>02-Incident</x:v>
      </x:c>
      <x:c r="C56" s="165" t="str">
        <x:v>01-MES</x:v>
      </x:c>
      <x:c r="D56" s="165" t="str">
        <x:v>D04-Geely</x:v>
      </x:c>
      <x:c r="E56" s="165" t="str">
        <x:v>20-中</x:v>
      </x:c>
      <x:c r="F56" s="165" t="str">
        <x:v>20-中</x:v>
      </x:c>
      <x:c r="G56" s="165" t="str">
        <x:v>P2</x:v>
      </x:c>
      <x:c r="H56" s="156" t="str">
        <x:v>MES条码规则与现有标签不兼容</x:v>
      </x:c>
      <x:c r="I56" s="156" t="str">
        <x:v>现场旧标签长度超过MES默认校验规则。</x:v>
      </x:c>
      <x:c r="J56" s="156" t="str">
        <x:v>05-诸暨金晟</x:v>
      </x:c>
      <x:c r="K56" s="156" t="str">
        <x:v>仓储部</x:v>
      </x:c>
      <x:c r="L56" s="156" t="str">
        <x:v>陈维炜</x:v>
      </x:c>
      <x:c r="M56" s="167" t="n">
        <x:v>46258</x:v>
      </x:c>
      <x:c r="N56" s="167" t="str">
        <x:v>陈维炜</x:v>
      </x:c>
      <x:c r="O56" s="167" t="str">
        <x:v>41-处理</x:v>
      </x:c>
      <x:c r="P56" s="167" t="n">
        <x:v>46258</x:v>
      </x:c>
      <x:c r="Q56" s="167" t="n">
        <x:v>46266</x:v>
      </x:c>
      <x:c r="R56" s="167"/>
      <x:c r="S56" s="156" t="str">
        <x:v>正在调整解析规则并准备历史标签回归测试。</x:v>
      </x:c>
      <x:c r="T56" s="156" t="str">
        <x:v>示例数据：用于 IT管理部工作台 V1 演示，不代表真实生产、项目或服务状态。</x:v>
      </x:c>
      <x:c r="U56" s="165" t="n">
        <x:v>0</x:v>
      </x:c>
      <x:c r="V56" s="165"/>
      <x:c r="W56" s="165"/>
    </x:row>
    <x:row r="57" ht="36" customHeight="1">
      <x:c r="A57" s="163" t="n">
        <x:v>56</x:v>
      </x:c>
      <x:c r="B57" s="165" t="str">
        <x:v>01-Task</x:v>
      </x:c>
      <x:c r="C57" s="165" t="str">
        <x:v>01-MES</x:v>
      </x:c>
      <x:c r="D57" s="165" t="str">
        <x:v>D04-Geely</x:v>
      </x:c>
      <x:c r="E57" s="165" t="str">
        <x:v>20-中</x:v>
      </x:c>
      <x:c r="F57" s="165" t="str">
        <x:v>20-中</x:v>
      </x:c>
      <x:c r="G57" s="165" t="str">
        <x:v>P2</x:v>
      </x:c>
      <x:c r="H57" s="156" t="str">
        <x:v>MES上线割接清单复核</x:v>
      </x:c>
      <x:c r="I57" s="156" t="str">
        <x:v>复核数据备份、权限、终端、接口、培训和回退方案。</x:v>
      </x:c>
      <x:c r="J57" s="156" t="str">
        <x:v>05-诸暨金晟</x:v>
      </x:c>
      <x:c r="K57" s="156" t="str">
        <x:v>IT管理部</x:v>
      </x:c>
      <x:c r="L57" s="156" t="str">
        <x:v>陈维炜</x:v>
      </x:c>
      <x:c r="M57" s="167" t="n">
        <x:v>46260</x:v>
      </x:c>
      <x:c r="N57" s="167" t="str">
        <x:v>陈维炜</x:v>
      </x:c>
      <x:c r="O57" s="167" t="str">
        <x:v>11-提出-业务澄清</x:v>
      </x:c>
      <x:c r="P57" s="167"/>
      <x:c r="Q57" s="167" t="n">
        <x:v>46273</x:v>
      </x:c>
      <x:c r="R57" s="167"/>
      <x:c r="S57" s="156" t="str">
        <x:v>待确认生产排产与最终割接窗口。</x:v>
      </x:c>
      <x:c r="T57" s="156" t="str">
        <x:v>示例数据：用于 IT管理部工作台 V1 演示，不代表真实生产、项目或服务状态。</x:v>
      </x:c>
      <x:c r="U57" s="165"/>
      <x:c r="V57" s="165"/>
      <x:c r="W57" s="165"/>
    </x:row>
    <x:row r="58" ht="36" customHeight="1">
      <x:c r="A58" s="163" t="n">
        <x:v>57</x:v>
      </x:c>
      <x:c r="B58" s="165" t="str">
        <x:v>05-Project</x:v>
      </x:c>
      <x:c r="C58" s="165" t="str">
        <x:v>01-MES</x:v>
      </x:c>
      <x:c r="D58" s="165" t="str">
        <x:v>D05-GreatWall</x:v>
      </x:c>
      <x:c r="E58" s="165" t="str">
        <x:v>10-高</x:v>
      </x:c>
      <x:c r="F58" s="165" t="str">
        <x:v>20-中</x:v>
      </x:c>
      <x:c r="G58" s="165" t="str">
        <x:v>P1</x:v>
      </x:c>
      <x:c r="H58" s="156" t="str">
        <x:v>MES无锡弹簧车间试运行支持</x:v>
      </x:c>
      <x:c r="I58" s="156" t="str">
        <x:v>支持冲压、装配工序报工及质量追溯试运行。</x:v>
      </x:c>
      <x:c r="J58" s="156" t="str">
        <x:v>06-无锡弹簧</x:v>
      </x:c>
      <x:c r="K58" s="156" t="str">
        <x:v>生产部</x:v>
      </x:c>
      <x:c r="L58" s="156" t="str">
        <x:v>陈宇</x:v>
      </x:c>
      <x:c r="M58" s="167" t="n">
        <x:v>46237</x:v>
      </x:c>
      <x:c r="N58" s="167" t="str">
        <x:v>陈宇</x:v>
      </x:c>
      <x:c r="O58" s="167" t="str">
        <x:v>41-处理</x:v>
      </x:c>
      <x:c r="P58" s="167" t="n">
        <x:v>46237</x:v>
      </x:c>
      <x:c r="Q58" s="167" t="n">
        <x:v>46269</x:v>
      </x:c>
      <x:c r="R58" s="167"/>
      <x:c r="S58" s="156" t="str">
        <x:v>已完成现场上线演练，试运行持续跟进中。</x:v>
      </x:c>
      <x:c r="T58" s="156" t="str">
        <x:v>示例数据：用于 IT管理部工作台 V1 演示，不代表真实生产、项目或服务状态。</x:v>
      </x:c>
      <x:c r="U58" s="165" t="n">
        <x:v>0</x:v>
      </x:c>
      <x:c r="V58" s="165"/>
      <x:c r="W58" s="165"/>
    </x:row>
    <x:row r="59" ht="36" customHeight="1">
      <x:c r="A59" s="163" t="n">
        <x:v>58</x:v>
      </x:c>
      <x:c r="B59" s="165" t="str">
        <x:v>01-Task</x:v>
      </x:c>
      <x:c r="C59" s="165" t="str">
        <x:v>01-MES</x:v>
      </x:c>
      <x:c r="D59" s="165" t="str">
        <x:v>D05-GreatWall</x:v>
      </x:c>
      <x:c r="E59" s="165" t="str">
        <x:v>20-中</x:v>
      </x:c>
      <x:c r="F59" s="165" t="str">
        <x:v>20-中</x:v>
      </x:c>
      <x:c r="G59" s="165" t="str">
        <x:v>P2</x:v>
      </x:c>
      <x:c r="H59" s="156" t="str">
        <x:v>MES工艺路线与标准工时导入</x:v>
      </x:c>
      <x:c r="I59" s="156" t="str">
        <x:v>导入首批产品工艺路线、标准工时及工序检验点。</x:v>
      </x:c>
      <x:c r="J59" s="156" t="str">
        <x:v>06-无锡弹簧</x:v>
      </x:c>
      <x:c r="K59" s="156" t="str">
        <x:v>工艺部</x:v>
      </x:c>
      <x:c r="L59" s="156" t="str">
        <x:v>陈宇</x:v>
      </x:c>
      <x:c r="M59" s="167" t="n">
        <x:v>46241</x:v>
      </x:c>
      <x:c r="N59" s="167" t="str">
        <x:v>陈宇</x:v>
      </x:c>
      <x:c r="O59" s="167" t="str">
        <x:v>51-验证</x:v>
      </x:c>
      <x:c r="P59" s="167" t="n">
        <x:v>46241</x:v>
      </x:c>
      <x:c r="Q59" s="167" t="n">
        <x:v>46262</x:v>
      </x:c>
      <x:c r="R59" s="167"/>
      <x:c r="S59" s="156" t="str">
        <x:v>数据已导入，等待工艺部签字确认。</x:v>
      </x:c>
      <x:c r="T59" s="156" t="str">
        <x:v>示例数据：用于 IT管理部工作台 V1 演示，不代表真实生产、项目或服务状态。</x:v>
      </x:c>
      <x:c r="U59" s="165" t="n">
        <x:v>0</x:v>
      </x:c>
      <x:c r="V59" s="165"/>
      <x:c r="W59" s="165"/>
    </x:row>
    <x:row r="60" ht="36" customHeight="1">
      <x:c r="A60" s="163" t="n">
        <x:v>59</x:v>
      </x:c>
      <x:c r="B60" s="165" t="str">
        <x:v>02-Incident</x:v>
      </x:c>
      <x:c r="C60" s="165" t="str">
        <x:v>01-MES</x:v>
      </x:c>
      <x:c r="D60" s="165" t="str">
        <x:v>D05-GreatWall</x:v>
      </x:c>
      <x:c r="E60" s="165" t="str">
        <x:v>20-中</x:v>
      </x:c>
      <x:c r="F60" s="165" t="str">
        <x:v>10-高</x:v>
      </x:c>
      <x:c r="G60" s="165" t="str">
        <x:v>P2</x:v>
      </x:c>
      <x:c r="H60" s="156" t="str">
        <x:v>MES报工后产量未更新至班组看板</x:v>
      </x:c>
      <x:c r="I60" s="156" t="str">
        <x:v>个别班组报工成功后看板刷新延迟超过10分钟。</x:v>
      </x:c>
      <x:c r="J60" s="156" t="str">
        <x:v>06-无锡弹簧</x:v>
      </x:c>
      <x:c r="K60" s="156" t="str">
        <x:v>生产部</x:v>
      </x:c>
      <x:c r="L60" s="156" t="str">
        <x:v>陈宇</x:v>
      </x:c>
      <x:c r="M60" s="167" t="n">
        <x:v>46250</x:v>
      </x:c>
      <x:c r="N60" s="167" t="str">
        <x:v>陈宇</x:v>
      </x:c>
      <x:c r="O60" s="167" t="str">
        <x:v>61-关闭</x:v>
      </x:c>
      <x:c r="P60" s="167" t="n">
        <x:v>46250</x:v>
      </x:c>
      <x:c r="Q60" s="167" t="n">
        <x:v>46250</x:v>
      </x:c>
      <x:c r="R60" s="167" t="n">
        <x:v>46250</x:v>
      </x:c>
      <x:c r="S60" s="156" t="str">
        <x:v>优化缓存刷新任务后恢复正常。</x:v>
      </x:c>
      <x:c r="T60" s="156" t="str">
        <x:v>示例数据：用于 IT管理部工作台 V1 演示，不代表真实生产、项目或服务状态。</x:v>
      </x:c>
      <x:c r="U60" s="165" t="n">
        <x:v>0</x:v>
      </x:c>
      <x:c r="V60" s="165" t="n">
        <x:v>0</x:v>
      </x:c>
      <x:c r="W60" s="165" t="n">
        <x:v>0</x:v>
      </x:c>
    </x:row>
    <x:row r="61" ht="36" customHeight="1">
      <x:c r="A61" s="163" t="n">
        <x:v>60</x:v>
      </x:c>
      <x:c r="B61" s="165" t="str">
        <x:v>03-Problem</x:v>
      </x:c>
      <x:c r="C61" s="165" t="str">
        <x:v>01-MES</x:v>
      </x:c>
      <x:c r="D61" s="165" t="str">
        <x:v>D05-GreatWall</x:v>
      </x:c>
      <x:c r="E61" s="165" t="str">
        <x:v>20-中</x:v>
      </x:c>
      <x:c r="F61" s="165" t="str">
        <x:v>20-中</x:v>
      </x:c>
      <x:c r="G61" s="165" t="str">
        <x:v>P2</x:v>
      </x:c>
      <x:c r="H61" s="156" t="str">
        <x:v>MES设备采集数据偶发缺失</x:v>
      </x:c>
      <x:c r="I61" s="156" t="str">
        <x:v>夜班时段部分设备采集记录存在间断。</x:v>
      </x:c>
      <x:c r="J61" s="156" t="str">
        <x:v>06-无锡弹簧</x:v>
      </x:c>
      <x:c r="K61" s="156" t="str">
        <x:v>设备动力部</x:v>
      </x:c>
      <x:c r="L61" s="156" t="str">
        <x:v>陈宇</x:v>
      </x:c>
      <x:c r="M61" s="167" t="n">
        <x:v>46253</x:v>
      </x:c>
      <x:c r="N61" s="167" t="str">
        <x:v>陈宇</x:v>
      </x:c>
      <x:c r="O61" s="167" t="str">
        <x:v>41-处理</x:v>
      </x:c>
      <x:c r="P61" s="167" t="n">
        <x:v>46253</x:v>
      </x:c>
      <x:c r="Q61" s="167" t="n">
        <x:v>46267</x:v>
      </x:c>
      <x:c r="R61" s="167"/>
      <x:c r="S61" s="156" t="str">
        <x:v>已定位网络抖动关联性，正在与设备厂商联合排查。</x:v>
      </x:c>
      <x:c r="T61" s="156" t="str">
        <x:v>示例数据：用于 IT管理部工作台 V1 演示，不代表真实生产、项目或服务状态。</x:v>
      </x:c>
      <x:c r="U61" s="165" t="n">
        <x:v>0</x:v>
      </x:c>
      <x:c r="V61" s="165"/>
      <x:c r="W61" s="165"/>
    </x:row>
    <x:row r="62" ht="36" customHeight="1">
      <x:c r="A62" s="163" t="n">
        <x:v>61</x:v>
      </x:c>
      <x:c r="B62" s="165" t="str">
        <x:v>04-Request</x:v>
      </x:c>
      <x:c r="C62" s="165" t="str">
        <x:v>01-MES</x:v>
      </x:c>
      <x:c r="D62" s="165" t="str">
        <x:v>D05-GreatWall</x:v>
      </x:c>
      <x:c r="E62" s="165" t="str">
        <x:v>30-低</x:v>
      </x:c>
      <x:c r="F62" s="165" t="str">
        <x:v>20-中</x:v>
      </x:c>
      <x:c r="G62" s="165" t="str">
        <x:v>P3</x:v>
      </x:c>
      <x:c r="H62" s="156" t="str">
        <x:v>MES质量异常增加照片上传</x:v>
      </x:c>
      <x:c r="I62" s="156" t="str">
        <x:v>质量部申请在异常处置记录中上传现场图片。</x:v>
      </x:c>
      <x:c r="J62" s="156" t="str">
        <x:v>06-无锡弹簧</x:v>
      </x:c>
      <x:c r="K62" s="156" t="str">
        <x:v>质量部</x:v>
      </x:c>
      <x:c r="L62" s="156" t="str">
        <x:v>陈宇</x:v>
      </x:c>
      <x:c r="M62" s="167" t="n">
        <x:v>46255</x:v>
      </x:c>
      <x:c r="N62" s="167" t="str">
        <x:v>陈宇</x:v>
      </x:c>
      <x:c r="O62" s="167" t="str">
        <x:v>21-接受</x:v>
      </x:c>
      <x:c r="P62" s="167" t="n">
        <x:v>46255</x:v>
      </x:c>
      <x:c r="Q62" s="167" t="n">
        <x:v>46282</x:v>
      </x:c>
      <x:c r="R62" s="167"/>
      <x:c r="S62" s="156" t="str">
        <x:v>已接收需求，待评估存储容量与权限。</x:v>
      </x:c>
      <x:c r="T62" s="156" t="str">
        <x:v>示例数据：用于 IT管理部工作台 V1 演示，不代表真实生产、项目或服务状态。</x:v>
      </x:c>
      <x:c r="U62" s="165" t="n">
        <x:v>0</x:v>
      </x:c>
      <x:c r="V62" s="165"/>
      <x:c r="W62" s="165"/>
    </x:row>
    <x:row r="63" ht="36" customHeight="1">
      <x:c r="A63" s="163" t="n">
        <x:v>62</x:v>
      </x:c>
      <x:c r="B63" s="165" t="str">
        <x:v>01-Task</x:v>
      </x:c>
      <x:c r="C63" s="165" t="str">
        <x:v>01-MES</x:v>
      </x:c>
      <x:c r="D63" s="165" t="str">
        <x:v>D05-GreatWall</x:v>
      </x:c>
      <x:c r="E63" s="165" t="str">
        <x:v>20-中</x:v>
      </x:c>
      <x:c r="F63" s="165" t="str">
        <x:v>10-高</x:v>
      </x:c>
      <x:c r="G63" s="165" t="str">
        <x:v>P2</x:v>
      </x:c>
      <x:c r="H63" s="156" t="str">
        <x:v>MES上线前条码标签打印测试</x:v>
      </x:c>
      <x:c r="I63" s="156" t="str">
        <x:v>覆盖原材料、半成品、成品和返工四类标签打印场景。</x:v>
      </x:c>
      <x:c r="J63" s="156" t="str">
        <x:v>06-无锡弹簧</x:v>
      </x:c>
      <x:c r="K63" s="156" t="str">
        <x:v>仓储部</x:v>
      </x:c>
      <x:c r="L63" s="156" t="str">
        <x:v>陈宇</x:v>
      </x:c>
      <x:c r="M63" s="167" t="n">
        <x:v>46257</x:v>
      </x:c>
      <x:c r="N63" s="167" t="str">
        <x:v>陈宇</x:v>
      </x:c>
      <x:c r="O63" s="167" t="str">
        <x:v>41-处理</x:v>
      </x:c>
      <x:c r="P63" s="167" t="n">
        <x:v>46257</x:v>
      </x:c>
      <x:c r="Q63" s="167" t="n">
        <x:v>46264</x:v>
      </x:c>
      <x:c r="R63" s="167"/>
      <x:c r="S63" s="156" t="str">
        <x:v>已完成三类标签测试，返工标签待业务确认。</x:v>
      </x:c>
      <x:c r="T63" s="156" t="str">
        <x:v>示例数据：用于 IT管理部工作台 V1 演示，不代表真实生产、项目或服务状态。</x:v>
      </x:c>
      <x:c r="U63" s="165" t="n">
        <x:v>0</x:v>
      </x:c>
      <x:c r="V63" s="165"/>
      <x:c r="W63" s="165"/>
    </x:row>
    <x:row r="64" ht="36" customHeight="1">
      <x:c r="A64" s="163" t="n">
        <x:v>63</x:v>
      </x:c>
      <x:c r="B64" s="165" t="str">
        <x:v>02-Incident</x:v>
      </x:c>
      <x:c r="C64" s="165" t="str">
        <x:v>01-MES</x:v>
      </x:c>
      <x:c r="D64" s="165" t="str">
        <x:v>D05-GreatWall</x:v>
      </x:c>
      <x:c r="E64" s="165" t="str">
        <x:v>20-中</x:v>
      </x:c>
      <x:c r="F64" s="165" t="str">
        <x:v>20-中</x:v>
      </x:c>
      <x:c r="G64" s="165" t="str">
        <x:v>P2</x:v>
      </x:c>
      <x:c r="H64" s="156" t="str">
        <x:v>MES试运行账号无法切换班组</x:v>
      </x:c>
      <x:c r="I64" s="156" t="str">
        <x:v>班组长切换班组后权限未及时刷新。</x:v>
      </x:c>
      <x:c r="J64" s="156" t="str">
        <x:v>06-无锡弹簧</x:v>
      </x:c>
      <x:c r="K64" s="156" t="str">
        <x:v>生产部</x:v>
      </x:c>
      <x:c r="L64" s="156" t="str">
        <x:v>陈宇</x:v>
      </x:c>
      <x:c r="M64" s="167" t="n">
        <x:v>46259</x:v>
      </x:c>
      <x:c r="N64" s="167" t="str">
        <x:v>陈宇</x:v>
      </x:c>
      <x:c r="O64" s="167" t="str">
        <x:v>11-提出-业务澄清</x:v>
      </x:c>
      <x:c r="P64" s="167"/>
      <x:c r="Q64" s="167" t="n">
        <x:v>46266</x:v>
      </x:c>
      <x:c r="R64" s="167"/>
      <x:c r="S64" s="156" t="str">
        <x:v>待确认临时调班人员的授权规则。</x:v>
      </x:c>
      <x:c r="T64" s="156" t="str">
        <x:v>示例数据：用于 IT管理部工作台 V1 演示，不代表真实生产、项目或服务状态。</x:v>
      </x:c>
      <x:c r="U64" s="165"/>
      <x:c r="V64" s="165"/>
      <x:c r="W64" s="165"/>
    </x:row>
    <x:row r="65" ht="36" customHeight="1">
      <x:c r="A65" s="163" t="n">
        <x:v>64</x:v>
      </x:c>
      <x:c r="B65" s="165" t="str">
        <x:v>01-Task</x:v>
      </x:c>
      <x:c r="C65" s="165" t="str">
        <x:v>01-MES</x:v>
      </x:c>
      <x:c r="D65" s="165" t="str">
        <x:v>D05-GreatWall</x:v>
      </x:c>
      <x:c r="E65" s="165" t="str">
        <x:v>20-中</x:v>
      </x:c>
      <x:c r="F65" s="165" t="str">
        <x:v>20-中</x:v>
      </x:c>
      <x:c r="G65" s="165" t="str">
        <x:v>P2</x:v>
      </x:c>
      <x:c r="H65" s="156" t="str">
        <x:v>MES试运行日报数据核对</x:v>
      </x:c>
      <x:c r="I65" s="156" t="str">
        <x:v>每日核对MES报工、产量、良率与现场手工记录差异。</x:v>
      </x:c>
      <x:c r="J65" s="156" t="str">
        <x:v>06-无锡弹簧</x:v>
      </x:c>
      <x:c r="K65" s="156" t="str">
        <x:v>生产部</x:v>
      </x:c>
      <x:c r="L65" s="156" t="str">
        <x:v>陈宇</x:v>
      </x:c>
      <x:c r="M65" s="167" t="n">
        <x:v>46260</x:v>
      </x:c>
      <x:c r="N65" s="167" t="str">
        <x:v>陈宇</x:v>
      </x:c>
      <x:c r="O65" s="167" t="str">
        <x:v>41-处理</x:v>
      </x:c>
      <x:c r="P65" s="167" t="n">
        <x:v>46260</x:v>
      </x:c>
      <x:c r="Q65" s="167" t="n">
        <x:v>46270</x:v>
      </x:c>
      <x:c r="R65" s="167"/>
      <x:c r="S65" s="156" t="str">
        <x:v>已建立日报核对表，正在跟进首批差异。</x:v>
      </x:c>
      <x:c r="T65" s="156" t="str">
        <x:v>示例数据：用于 IT管理部工作台 V1 演示，不代表真实生产、项目或服务状态。</x:v>
      </x:c>
      <x:c r="U65" s="165" t="n">
        <x:v>0</x:v>
      </x:c>
      <x:c r="V65" s="165"/>
      <x:c r="W65" s="165"/>
    </x:row>
  </x:sheetData>
  <x:mergeCells>
    <x:mergeCell ref="H22:I22"/>
  </x:mergeCells>
  <x:conditionalFormatting sqref="U2:W22">
    <x:cfRule type="cellIs" dxfId="2" priority="1" operator="lessThan">
      <x:formula>0</x:formula>
    </x:cfRule>
    <x:cfRule type="cellIs" dxfId="1" priority="2" operator="greaterThan">
      <x:formula>0</x:formula>
    </x:cfRule>
    <x:cfRule type="cellIs" dxfId="0" priority="3" operator="equal">
      <x:formula>0</x:formula>
    </x:cfRule>
  </x:conditionalFormatting>
  <x:dataValidations count="7">
    <x:dataValidation type="list" allowBlank="1" showDropDown="0" sqref="B2:B200">
      <x:formula1>'CAT'!$C$2:$C$6</x:formula1>
    </x:dataValidation>
    <x:dataValidation type="list" allowBlank="1" showDropDown="0" sqref="C2:C200">
      <x:formula1>'CAT'!$G$2:$G$10</x:formula1>
    </x:dataValidation>
    <x:dataValidation type="list" allowBlank="1" showDropDown="0" sqref="D2:D200">
      <x:formula1>'CAT'!$O$2:$O$15</x:formula1>
    </x:dataValidation>
    <x:dataValidation type="list" allowBlank="1" showDropDown="0" sqref="E2:E200">
      <x:formula1>'CAT'!$W$2:$W$4</x:formula1>
    </x:dataValidation>
    <x:dataValidation type="list" allowBlank="1" showDropDown="0" sqref="F2:F200">
      <x:formula1>'CAT'!$AA$2:$AA$4</x:formula1>
    </x:dataValidation>
    <x:dataValidation type="list" allowBlank="1" showDropDown="0" sqref="J2:J200">
      <x:formula1>'CAT'!$K$2:$K$27</x:formula1>
    </x:dataValidation>
    <x:dataValidation type="list" allowBlank="1" showDropDown="0" sqref="O2:O200">
      <x:formula1>'CAT'!$S$2:$S$12</x:formula1>
    </x:dataValidation>
  </x:dataValidations>
  <x:hyperlinks>
    <x:hyperlink ref="E1" location="影响度与紧急度定义!A1"/>
    <x:hyperlink ref="F1" location="影响度与紧急度定义!A1"/>
    <x:hyperlink ref="G1" location="优先级定义与SLA!A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2" max="2" width="8.33203125" customWidth="1"/>
    <x:col min="3" max="3" width="13.6640625" customWidth="1"/>
    <x:col min="4" max="4" width="43.88671875" customWidth="1"/>
    <x:col min="6" max="6" width="9.77734375" customWidth="1"/>
    <x:col min="7" max="7" width="16.33203125" customWidth="1"/>
    <x:col min="8" max="8" width="14.88671875" customWidth="1"/>
    <x:col min="9" max="9" width="4.44140625" customWidth="1"/>
    <x:col min="10" max="10" width="11.5546875" customWidth="1"/>
    <x:col min="11" max="12" width="17.5546875" customWidth="1"/>
    <x:col min="13" max="13" width="4.44140625" customWidth="1"/>
    <x:col min="14" max="14" width="12.21875" customWidth="1"/>
    <x:col min="15" max="15" width="16.21875" customWidth="1"/>
    <x:col min="16" max="16" width="11.33203125" customWidth="1"/>
    <x:col min="18" max="18" width="14.33203125" customWidth="1"/>
    <x:col min="19" max="19" width="17.109375" customWidth="1"/>
    <x:col min="20" max="20" width="10.44140625" customWidth="1"/>
    <x:col min="23" max="23" width="12.21875" customWidth="1"/>
    <x:col min="24" max="24" width="10.44140625" customWidth="1"/>
    <x:col min="27" max="27" width="11.6640625" customWidth="1"/>
    <x:col min="28" max="28" width="10.44140625" customWidth="1"/>
  </x:cols>
  <x:sheetData>
    <x:row r="1">
      <x:c r="A1" s="34" t="s">
        <x:v>23</x:v>
      </x:c>
      <x:c r="B1" s="34" t="s">
        <x:v>24</x:v>
      </x:c>
      <x:c r="C1" s="34" t="s">
        <x:v>25</x:v>
      </x:c>
      <x:c r="D1" s="34" t="s">
        <x:v>26</x:v>
      </x:c>
      <x:c r="E1" s="15" t="s">
        <x:v>27</x:v>
      </x:c>
      <x:c r="F1" s="15" t="s">
        <x:v>28</x:v>
      </x:c>
      <x:c r="G1" s="15" t="s">
        <x:v>29</x:v>
      </x:c>
      <x:c r="H1" s="15" t="s">
        <x:v>30</x:v>
      </x:c>
      <x:c r="I1" s="34" t="s">
        <x:v>31</x:v>
      </x:c>
      <x:c r="J1" s="34" t="s">
        <x:v>32</x:v>
      </x:c>
      <x:c r="K1" s="34" t="s">
        <x:v>33</x:v>
      </x:c>
      <x:c r="L1" s="34" t="s">
        <x:v>34</x:v>
      </x:c>
      <x:c r="M1" s="15" t="s">
        <x:v>35</x:v>
      </x:c>
      <x:c r="N1" s="15" t="s">
        <x:v>36</x:v>
      </x:c>
      <x:c r="O1" s="15" t="s">
        <x:v>37</x:v>
      </x:c>
      <x:c r="P1" s="15" t="s">
        <x:v>38</x:v>
      </x:c>
      <x:c r="Q1" s="34" t="s">
        <x:v>39</x:v>
      </x:c>
      <x:c r="R1" s="34" t="s">
        <x:v>40</x:v>
      </x:c>
      <x:c r="S1" s="34" t="s">
        <x:v>41</x:v>
      </x:c>
      <x:c r="T1" s="34" t="s">
        <x:v>42</x:v>
      </x:c>
      <x:c r="U1" s="15" t="s">
        <x:v>43</x:v>
      </x:c>
      <x:c r="V1" s="15" t="s">
        <x:v>4</x:v>
      </x:c>
      <x:c r="W1" s="15" t="s">
        <x:v>44</x:v>
      </x:c>
      <x:c r="X1" s="15" t="s">
        <x:v>45</x:v>
      </x:c>
      <x:c r="Y1" s="34" t="s">
        <x:v>46</x:v>
      </x:c>
      <x:c r="Z1" s="34" t="s">
        <x:v>5</x:v>
      </x:c>
      <x:c r="AA1" s="34" t="s">
        <x:v>47</x:v>
      </x:c>
      <x:c r="AB1" s="34" t="s">
        <x:v>48</x:v>
      </x:c>
    </x:row>
    <x:row r="2">
      <x:c r="A2" s="14" t="s">
        <x:v>49</x:v>
      </x:c>
      <x:c r="B2" t="s">
        <x:v>50</x:v>
      </x:c>
      <x:c r="C2" t="str">
        <x:f>A2&amp;"-"&amp;B2</x:f>
        <x:v>01-Task</x:v>
      </x:c>
      <x:c r="D2" t="s">
        <x:v>51</x:v>
      </x:c>
      <x:c r="E2" s="14" t="s">
        <x:v>49</x:v>
      </x:c>
      <x:c r="F2" t="s">
        <x:v>52</x:v>
      </x:c>
      <x:c r="G2" t="str">
        <x:f>E2&amp;"-"&amp;F2</x:f>
        <x:v>01-MES</x:v>
      </x:c>
      <x:c r="I2" s="14" t="s">
        <x:v>49</x:v>
      </x:c>
      <x:c r="J2" t="s">
        <x:v>53</x:v>
      </x:c>
      <x:c r="K2" t="str">
        <x:f>I2&amp;"-"&amp;J2</x:f>
        <x:v>01-集团</x:v>
      </x:c>
      <x:c r="L2" t="s">
        <x:v>54</x:v>
      </x:c>
      <x:c r="M2" s="14" t="s">
        <x:v>55</x:v>
      </x:c>
      <x:c r="N2" t="s">
        <x:v>56</x:v>
      </x:c>
      <x:c r="O2" t="str">
        <x:f>M2&amp;"-"&amp;N2</x:f>
        <x:v>D01-Lixiang</x:v>
      </x:c>
      <x:c r="P2" t="s">
        <x:v>57</x:v>
      </x:c>
      <x:c r="Q2" s="22" t="s">
        <x:v>58</x:v>
      </x:c>
      <x:c r="R2" s="21" t="s">
        <x:v>59</x:v>
      </x:c>
      <x:c r="S2" t="str">
        <x:f>Q2&amp;"-"&amp;R2</x:f>
        <x:v>11-提出-业务澄清</x:v>
      </x:c>
      <x:c r="U2" s="14">
        <x:v>10</x:v>
      </x:c>
      <x:c r="V2" t="e">
        <x:f>影响度与紧急度定义!A4</x:f>
        <x:v>#NAME?</x:v>
      </x:c>
      <x:c r="W2" t="e">
        <x:f>U2&amp;"-"&amp;V2</x:f>
        <x:v>#NAME?</x:v>
      </x:c>
      <x:c r="X2" s="57" t="e">
        <x:f>影响度与紧急度定义!B4</x:f>
        <x:v>#NAME?</x:v>
      </x:c>
      <x:c r="Y2" s="14">
        <x:v>10</x:v>
      </x:c>
      <x:c r="Z2" t="e">
        <x:f>影响度与紧急度定义!A11</x:f>
        <x:v>#NAME?</x:v>
      </x:c>
      <x:c r="AA2" t="e">
        <x:f>Y2&amp;"-"&amp;Z2</x:f>
        <x:v>#NAME?</x:v>
      </x:c>
      <x:c r="AB2" s="57" t="e">
        <x:f>影响度与紧急度定义!B11</x:f>
        <x:v>#NAME?</x:v>
      </x:c>
    </x:row>
    <x:row r="3">
      <x:c r="A3" s="14" t="s">
        <x:v>60</x:v>
      </x:c>
      <x:c r="B3" t="s">
        <x:v>61</x:v>
      </x:c>
      <x:c r="C3" t="str">
        <x:f t="shared" ref="C3:C6" si="0">A3&amp;"-"&amp;B3</x:f>
        <x:v>02-Incident</x:v>
      </x:c>
      <x:c r="D3" t="s">
        <x:v>62</x:v>
      </x:c>
      <x:c r="E3" s="14" t="s">
        <x:v>60</x:v>
      </x:c>
      <x:c r="F3" t="s">
        <x:v>63</x:v>
      </x:c>
      <x:c r="G3" t="str">
        <x:f t="shared" ref="G3:G10" si="1">E3&amp;"-"&amp;F3</x:f>
        <x:v>02-U9C</x:v>
      </x:c>
      <x:c r="I3" s="14" t="s">
        <x:v>60</x:v>
      </x:c>
      <x:c r="J3" t="s">
        <x:v>64</x:v>
      </x:c>
      <x:c r="K3" t="str">
        <x:f t="shared" ref="K3:K13" si="2">I3&amp;"-"&amp;J3</x:f>
        <x:v>02-诸暨1厂</x:v>
      </x:c>
      <x:c r="M3" s="14" t="s">
        <x:v>65</x:v>
      </x:c>
      <x:c r="N3" t="s">
        <x:v>66</x:v>
      </x:c>
      <x:c r="O3" t="str">
        <x:f t="shared" ref="O3:O11" si="3">M3&amp;"-"&amp;N3</x:f>
        <x:v>D02-Weilai</x:v>
      </x:c>
      <x:c r="P3" t="s">
        <x:v>67</x:v>
      </x:c>
      <x:c r="Q3" s="22" t="s">
        <x:v>68</x:v>
      </x:c>
      <x:c r="R3" s="21" t="s">
        <x:v>69</x:v>
      </x:c>
      <x:c r="S3" t="str">
        <x:f t="shared" ref="S3:S6" si="4">Q3&amp;"-"&amp;R3</x:f>
        <x:v>12-提出-客户澄清</x:v>
      </x:c>
      <x:c r="U3">
        <x:v>20</x:v>
      </x:c>
      <x:c r="V3" t="e">
        <x:f>影响度与紧急度定义!A5</x:f>
        <x:v>#NAME?</x:v>
      </x:c>
      <x:c r="W3" t="e">
        <x:f t="shared" ref="W3:W4" si="5">U3&amp;"-"&amp;V3</x:f>
        <x:v>#NAME?</x:v>
      </x:c>
      <x:c r="X3" s="57" t="e">
        <x:f>影响度与紧急度定义!B5</x:f>
        <x:v>#NAME?</x:v>
      </x:c>
      <x:c r="Y3">
        <x:v>20</x:v>
      </x:c>
      <x:c r="Z3" t="e">
        <x:f>影响度与紧急度定义!A12</x:f>
        <x:v>#NAME?</x:v>
      </x:c>
      <x:c r="AA3" t="e">
        <x:f t="shared" ref="AA3:AA4" si="6">Y3&amp;"-"&amp;Z3</x:f>
        <x:v>#NAME?</x:v>
      </x:c>
      <x:c r="AB3" s="57" t="e">
        <x:f>影响度与紧急度定义!B12</x:f>
        <x:v>#NAME?</x:v>
      </x:c>
    </x:row>
    <x:row r="4">
      <x:c r="A4" s="14" t="s">
        <x:v>70</x:v>
      </x:c>
      <x:c r="B4" t="s">
        <x:v>71</x:v>
      </x:c>
      <x:c r="C4" t="str">
        <x:f t="shared" si="0"/>
        <x:v>03-Problem</x:v>
      </x:c>
      <x:c r="D4" t="s">
        <x:v>72</x:v>
      </x:c>
      <x:c r="E4" s="14" t="s">
        <x:v>70</x:v>
      </x:c>
      <x:c r="F4" t="s">
        <x:v>73</x:v>
      </x:c>
      <x:c r="G4" t="str">
        <x:f t="shared" si="1"/>
        <x:v>03-WMS</x:v>
      </x:c>
      <x:c r="I4" s="14" t="s">
        <x:v>70</x:v>
      </x:c>
      <x:c r="J4" t="s">
        <x:v>74</x:v>
      </x:c>
      <x:c r="K4" t="str">
        <x:f t="shared" si="2"/>
        <x:v>03-诸暨2厂</x:v>
      </x:c>
      <x:c r="M4" s="14" t="s">
        <x:v>75</x:v>
      </x:c>
      <x:c r="N4" t="s">
        <x:v>76</x:v>
      </x:c>
      <x:c r="O4" t="str">
        <x:f t="shared" si="3"/>
        <x:v>D03-Xiaopeng</x:v>
      </x:c>
      <x:c r="P4" t="s">
        <x:v>77</x:v>
      </x:c>
      <x:c r="Q4" s="22" t="s">
        <x:v>78</x:v>
      </x:c>
      <x:c r="R4" s="21" t="s">
        <x:v>79</x:v>
      </x:c>
      <x:c r="S4" t="str">
        <x:f t="shared" si="4"/>
        <x:v>13-提出-其他澄清</x:v>
      </x:c>
      <x:c r="U4">
        <x:v>30</x:v>
      </x:c>
      <x:c r="V4" t="e">
        <x:f>影响度与紧急度定义!A6</x:f>
        <x:v>#NAME?</x:v>
      </x:c>
      <x:c r="W4" t="str">
        <x:f t="shared" si="5"/>
        <x:v>30-低</x:v>
      </x:c>
      <x:c r="X4" s="57" t="e">
        <x:f>影响度与紧急度定义!B6</x:f>
        <x:v>#NAME?</x:v>
      </x:c>
      <x:c r="Y4">
        <x:v>30</x:v>
      </x:c>
      <x:c r="Z4" t="e">
        <x:f>影响度与紧急度定义!A13</x:f>
        <x:v>#NAME?</x:v>
      </x:c>
      <x:c r="AA4" t="str">
        <x:f t="shared" si="6"/>
        <x:v>30-低</x:v>
      </x:c>
      <x:c r="AB4" s="57" t="e">
        <x:f>影响度与紧急度定义!B13</x:f>
        <x:v>#NAME?</x:v>
      </x:c>
    </x:row>
    <x:row r="5">
      <x:c r="A5" s="14" t="s">
        <x:v>80</x:v>
      </x:c>
      <x:c r="B5" t="s">
        <x:v>81</x:v>
      </x:c>
      <x:c r="C5" t="str">
        <x:f t="shared" si="0"/>
        <x:v>04-Request</x:v>
      </x:c>
      <x:c r="D5" t="s">
        <x:v>82</x:v>
      </x:c>
      <x:c r="E5" s="14" t="s">
        <x:v>80</x:v>
      </x:c>
      <x:c r="F5" t="s">
        <x:v>83</x:v>
      </x:c>
      <x:c r="G5" t="str">
        <x:f t="shared" si="1"/>
        <x:v>04-PLM</x:v>
      </x:c>
      <x:c r="I5" s="14" t="s">
        <x:v>80</x:v>
      </x:c>
      <x:c r="J5" t="s">
        <x:v>84</x:v>
      </x:c>
      <x:c r="K5" t="str">
        <x:f t="shared" si="2"/>
        <x:v>04-诸暨3厂</x:v>
      </x:c>
      <x:c r="M5" s="14" t="s">
        <x:v>85</x:v>
      </x:c>
      <x:c r="N5" t="s">
        <x:v>86</x:v>
      </x:c>
      <x:c r="O5" t="str">
        <x:f t="shared" si="3"/>
        <x:v>D04-Geely</x:v>
      </x:c>
      <x:c r="P5" t="s">
        <x:v>87</x:v>
      </x:c>
      <x:c r="Q5" s="22" t="s">
        <x:v>88</x:v>
      </x:c>
      <x:c r="R5" s="21" t="s">
        <x:v>89</x:v>
      </x:c>
      <x:c r="S5" t="str">
        <x:f t="shared" si="4"/>
        <x:v>14-提出-技术澄清</x:v>
      </x:c>
    </x:row>
    <x:row r="6">
      <x:c r="A6" s="14" t="s">
        <x:v>90</x:v>
      </x:c>
      <x:c r="B6" t="s">
        <x:v>91</x:v>
      </x:c>
      <x:c r="C6" t="str">
        <x:f t="shared" si="0"/>
        <x:v>05-Project</x:v>
      </x:c>
      <x:c r="D6" t="s">
        <x:v>92</x:v>
      </x:c>
      <x:c r="E6" s="14" t="s">
        <x:v>90</x:v>
      </x:c>
      <x:c r="F6" t="s">
        <x:v>93</x:v>
      </x:c>
      <x:c r="G6" t="str">
        <x:f t="shared" si="1"/>
        <x:v>05-Security</x:v>
      </x:c>
      <x:c r="I6" s="14" t="s">
        <x:v>90</x:v>
      </x:c>
      <x:c r="J6" t="s">
        <x:v>94</x:v>
      </x:c>
      <x:c r="K6" t="str">
        <x:f t="shared" si="2"/>
        <x:v>05-诸暨金晟</x:v>
      </x:c>
      <x:c r="M6" s="14" t="s">
        <x:v>95</x:v>
      </x:c>
      <x:c r="N6" t="s">
        <x:v>96</x:v>
      </x:c>
      <x:c r="O6" t="str">
        <x:f t="shared" si="3"/>
        <x:v>D05-GreatWall</x:v>
      </x:c>
      <x:c r="P6" t="s">
        <x:v>97</x:v>
      </x:c>
      <x:c r="Q6" s="19">
        <x:v>21</x:v>
      </x:c>
      <x:c r="R6" s="67" t="s">
        <x:v>98</x:v>
      </x:c>
      <x:c r="S6" t="str">
        <x:f t="shared" si="4"/>
        <x:v>21-接受</x:v>
      </x:c>
    </x:row>
    <x:row r="7">
      <x:c r="A7" s="14" t="s">
        <x:v>99</x:v>
      </x:c>
      <x:c r="E7" s="14" t="s">
        <x:v>99</x:v>
      </x:c>
      <x:c r="F7" t="s">
        <x:v>100</x:v>
      </x:c>
      <x:c r="G7" t="str">
        <x:f t="shared" si="1"/>
        <x:v>06-Workplace</x:v>
      </x:c>
      <x:c r="I7" s="14" t="s">
        <x:v>99</x:v>
      </x:c>
      <x:c r="J7" t="s">
        <x:v>101</x:v>
      </x:c>
      <x:c r="K7" t="str">
        <x:f t="shared" si="2"/>
        <x:v>06-无锡弹簧</x:v>
      </x:c>
      <x:c r="M7" s="14" t="s">
        <x:v>102</x:v>
      </x:c>
      <x:c r="N7" t="s">
        <x:v>103</x:v>
      </x:c>
      <x:c r="O7" t="str">
        <x:f t="shared" si="3"/>
        <x:v>D06-FAW</x:v>
      </x:c>
      <x:c r="P7" t="s">
        <x:v>104</x:v>
      </x:c>
      <x:c r="Q7" s="19">
        <x:v>31</x:v>
      </x:c>
      <x:c r="R7" s="67" t="s">
        <x:v>105</x:v>
      </x:c>
      <x:c r="S7" t="str">
        <x:f t="shared" ref="S7:S12" si="7">Q7&amp;"-"&amp;R7</x:f>
        <x:v>31-评估</x:v>
      </x:c>
    </x:row>
    <x:row r="8">
      <x:c r="A8" s="14" t="s">
        <x:v>106</x:v>
      </x:c>
      <x:c r="E8" s="14" t="s">
        <x:v>106</x:v>
      </x:c>
      <x:c r="F8" t="s">
        <x:v>107</x:v>
      </x:c>
      <x:c r="G8" t="str">
        <x:f t="shared" si="1"/>
        <x:v>07-研发云</x:v>
      </x:c>
      <x:c r="I8" s="14" t="s">
        <x:v>106</x:v>
      </x:c>
      <x:c r="J8" t="s">
        <x:v>108</x:v>
      </x:c>
      <x:c r="K8" t="str">
        <x:f t="shared" si="2"/>
        <x:v>07-重庆工厂</x:v>
      </x:c>
      <x:c r="M8" s="14" t="s">
        <x:v>109</x:v>
      </x:c>
      <x:c r="N8" t="s">
        <x:v>110</x:v>
      </x:c>
      <x:c r="O8" t="str">
        <x:f t="shared" si="3"/>
        <x:v>I01-Ford</x:v>
      </x:c>
      <x:c r="P8" t="s">
        <x:v>111</x:v>
      </x:c>
      <x:c r="Q8" s="19">
        <x:v>41</x:v>
      </x:c>
      <x:c r="R8" s="67" t="s">
        <x:v>112</x:v>
      </x:c>
      <x:c r="S8" t="str">
        <x:f t="shared" si="7"/>
        <x:v>41-处理</x:v>
      </x:c>
    </x:row>
    <x:row r="9">
      <x:c r="A9" s="14" t="s">
        <x:v>113</x:v>
      </x:c>
      <x:c r="E9" s="14" t="s">
        <x:v>113</x:v>
      </x:c>
      <x:c r="F9" t="s">
        <x:v>114</x:v>
      </x:c>
      <x:c r="G9" t="str">
        <x:f t="shared" si="1"/>
        <x:v>08-PDA</x:v>
      </x:c>
      <x:c r="I9" s="14" t="s">
        <x:v>113</x:v>
      </x:c>
      <x:c r="J9" t="s">
        <x:v>115</x:v>
      </x:c>
      <x:c r="K9" t="str">
        <x:f t="shared" si="2"/>
        <x:v>08-南京工厂</x:v>
      </x:c>
      <x:c r="M9" s="14" t="s">
        <x:v>116</x:v>
      </x:c>
      <x:c r="N9" t="s">
        <x:v>117</x:v>
      </x:c>
      <x:c r="O9" t="str">
        <x:f t="shared" si="3"/>
        <x:v>I02-Stellantis</x:v>
      </x:c>
      <x:c r="P9" t="s">
        <x:v>118</x:v>
      </x:c>
      <x:c r="Q9" s="19">
        <x:v>51</x:v>
      </x:c>
      <x:c r="R9" s="67" t="s">
        <x:v>119</x:v>
      </x:c>
      <x:c r="S9" t="str">
        <x:f t="shared" si="7"/>
        <x:v>51-验证</x:v>
      </x:c>
    </x:row>
    <x:row r="10">
      <x:c r="A10" s="14" t="s">
        <x:v>120</x:v>
      </x:c>
      <x:c r="E10" s="14" t="s">
        <x:v>120</x:v>
      </x:c>
      <x:c r="F10" t="s">
        <x:v>121</x:v>
      </x:c>
      <x:c r="G10" t="str">
        <x:f t="shared" si="1"/>
        <x:v>09-Network</x:v>
      </x:c>
      <x:c r="I10" s="14" t="s">
        <x:v>120</x:v>
      </x:c>
      <x:c r="J10" t="s">
        <x:v>122</x:v>
      </x:c>
      <x:c r="K10" t="str">
        <x:f t="shared" si="2"/>
        <x:v>09-河南工厂</x:v>
      </x:c>
      <x:c r="M10" s="14" t="s">
        <x:v>123</x:v>
      </x:c>
      <x:c r="N10" t="s">
        <x:v>124</x:v>
      </x:c>
      <x:c r="O10" t="str">
        <x:f t="shared" si="3"/>
        <x:v>I03-BMW</x:v>
      </x:c>
      <x:c r="P10" t="s">
        <x:v>125</x:v>
      </x:c>
      <x:c r="Q10" s="19">
        <x:v>61</x:v>
      </x:c>
      <x:c r="R10" s="21" t="s">
        <x:v>126</x:v>
      </x:c>
      <x:c r="S10" t="str">
        <x:f t="shared" si="7"/>
        <x:v>61-关闭</x:v>
      </x:c>
    </x:row>
    <x:row r="11">
      <x:c r="A11" s="14" t="s">
        <x:v>127</x:v>
      </x:c>
      <x:c r="E11" s="14" t="s">
        <x:v>127</x:v>
      </x:c>
      <x:c r="I11" s="14" t="s">
        <x:v>127</x:v>
      </x:c>
      <x:c r="J11" t="s">
        <x:v>128</x:v>
      </x:c>
      <x:c r="K11" t="str">
        <x:f t="shared" si="2"/>
        <x:v>10-德国工厂</x:v>
      </x:c>
      <x:c r="M11" s="14" t="s">
        <x:v>129</x:v>
      </x:c>
      <x:c r="N11" t="s">
        <x:v>130</x:v>
      </x:c>
      <x:c r="O11" t="str">
        <x:f t="shared" si="3"/>
        <x:v>I04-VW</x:v>
      </x:c>
      <x:c r="P11" t="s">
        <x:v>131</x:v>
      </x:c>
      <x:c r="Q11" s="19">
        <x:v>65</x:v>
      </x:c>
      <x:c r="R11" s="21" t="s">
        <x:v>132</x:v>
      </x:c>
      <x:c r="S11" t="str">
        <x:f t="shared" si="7"/>
        <x:v>65-关闭-用户撤销</x:v>
      </x:c>
    </x:row>
    <x:row r="12">
      <x:c r="I12" s="14" t="s">
        <x:v>58</x:v>
      </x:c>
      <x:c r="J12" t="s">
        <x:v>133</x:v>
      </x:c>
      <x:c r="K12" t="str">
        <x:f t="shared" si="2"/>
        <x:v>11-墨西哥工厂</x:v>
      </x:c>
      <x:c r="M12" s="14" t="s">
        <x:v>134</x:v>
      </x:c>
      <x:c r="N12" t="s">
        <x:v>135</x:v>
      </x:c>
      <x:c r="O12" t="str">
        <x:f>M12&amp;"-"&amp;N12</x:f>
        <x:v>I05-Volve</x:v>
      </x:c>
      <x:c r="P12" t="s">
        <x:v>136</x:v>
      </x:c>
      <x:c r="Q12" s="19">
        <x:v>71</x:v>
      </x:c>
      <x:c r="R12" s="21" t="s">
        <x:v>137</x:v>
      </x:c>
      <x:c r="S12" t="str">
        <x:f t="shared" si="7"/>
        <x:v>71-其他</x:v>
      </x:c>
    </x:row>
    <x:row r="13">
      <x:c r="I13" s="14" t="s">
        <x:v>68</x:v>
      </x:c>
      <x:c r="J13" t="s">
        <x:v>138</x:v>
      </x:c>
      <x:c r="K13" t="str">
        <x:f t="shared" si="2"/>
        <x:v>12-摩洛哥工厂</x:v>
      </x:c>
      <x:c r="M13" s="14" t="s">
        <x:v>139</x:v>
      </x:c>
      <x:c r="N13" t="s">
        <x:v>140</x:v>
      </x:c>
      <x:c r="O13" t="str">
        <x:f>M13&amp;"-"&amp;N13</x:f>
        <x:v>A01-All</x:v>
      </x:c>
      <x:c r="P13" t="s">
        <x:v>141</x:v>
      </x:c>
    </x:row>
    <x:row r="14">
      <x:c r="I14" s="14" t="s">
        <x:v>139</x:v>
      </x:c>
      <x:c r="J14" t="s">
        <x:v>140</x:v>
      </x:c>
      <x:c r="K14" t="str">
        <x:f>I14&amp;"-"&amp;J14</x:f>
        <x:v>A01-All</x:v>
      </x:c>
      <x:c r="L14" t="s">
        <x:v>141</x:v>
      </x:c>
      <x:c r="M14" t="s">
        <x:v>142</x:v>
      </x:c>
      <x:c r="N14" t="s">
        <x:v>143</x:v>
      </x:c>
      <x:c r="O14" t="str">
        <x:f>M14&amp;"-"&amp;N14</x:f>
        <x:v>A02-Domestic</x:v>
      </x:c>
      <x:c r="P14" t="s">
        <x:v>144</x:v>
      </x:c>
    </x:row>
    <x:row r="15">
      <x:c r="I15" t="s">
        <x:v>142</x:v>
      </x:c>
      <x:c r="J15" t="s">
        <x:v>143</x:v>
      </x:c>
      <x:c r="K15" t="str">
        <x:f>I15&amp;"-"&amp;J15</x:f>
        <x:v>A02-Domestic</x:v>
      </x:c>
      <x:c r="L15" t="s">
        <x:v>144</x:v>
      </x:c>
      <x:c r="M15" t="s">
        <x:v>145</x:v>
      </x:c>
      <x:c r="N15" t="s">
        <x:v>146</x:v>
      </x:c>
      <x:c r="O15" t="str">
        <x:f>M15&amp;"-"&amp;N15</x:f>
        <x:v>A03-International</x:v>
      </x:c>
      <x:c r="P15" t="s">
        <x:v>147</x:v>
      </x:c>
    </x:row>
    <x:row r="16">
      <x:c r="I16" t="s">
        <x:v>145</x:v>
      </x:c>
      <x:c r="J16" t="s">
        <x:v>146</x:v>
      </x:c>
      <x:c r="K16" t="str">
        <x:f>I16&amp;"-"&amp;J16</x:f>
        <x:v>A03-International</x:v>
      </x:c>
      <x:c r="L16" t="s">
        <x:v>147</x:v>
      </x:c>
    </x:row>
    <x:row r="17">
      <x:c r="I17" t="s">
        <x:v>148</x:v>
      </x:c>
      <x:c r="J17" t="s">
        <x:v>149</x:v>
      </x:c>
      <x:c r="K17" t="str">
        <x:f>I17&amp;"-"&amp;J17</x:f>
        <x:v>A21-Zhuji</x:v>
      </x:c>
      <x:c r="L17" t="s">
        <x:v>150</x:v>
      </x:c>
    </x:row>
    <x:row r="18">
      <x:c r="I18" t="s">
        <x:v>151</x:v>
      </x:c>
      <x:c r="J18" t="s">
        <x:v>152</x:v>
      </x:c>
      <x:c r="K18" t="str">
        <x:f>I18&amp;"-"&amp;J18</x:f>
        <x:v>A22-Non-Zhuji</x:v>
      </x:c>
      <x:c r="L18" t="s">
        <x:v>153</x:v>
      </x:c>
    </x:row>
    <x:row r="19">
      <x:c r="I19" s="1" t="s">
        <x:v>154</x:v>
      </x:c>
      <x:c r="J19" t="s">
        <x:v>155</x:v>
      </x:c>
      <x:c r="K19" t="str">
        <x:f t="shared" ref="K19:K25" si="8">I19&amp;"-"&amp;J19</x:f>
        <x:v>G21-HRG</x:v>
      </x:c>
      <x:c r="L19" t="s">
        <x:v>156</x:v>
      </x:c>
    </x:row>
    <x:row r="20">
      <x:c r="I20" s="1" t="s">
        <x:v>157</x:v>
      </x:c>
      <x:c r="J20" t="s">
        <x:v>158</x:v>
      </x:c>
      <x:c r="K20" t="str">
        <x:f t="shared" si="8"/>
        <x:v>G22-PRG</x:v>
      </x:c>
      <x:c r="L20" t="s">
        <x:v>159</x:v>
      </x:c>
    </x:row>
    <x:row r="21">
      <x:c r="I21" s="1" t="s">
        <x:v>160</x:v>
      </x:c>
      <x:c r="J21" t="s">
        <x:v>161</x:v>
      </x:c>
      <x:c r="K21" t="str">
        <x:f t="shared" si="8"/>
        <x:v>G23-ITG</x:v>
      </x:c>
      <x:c r="L21" t="s">
        <x:v>162</x:v>
      </x:c>
    </x:row>
    <x:row r="22">
      <x:c r="I22" s="1" t="s">
        <x:v>163</x:v>
      </x:c>
      <x:c r="J22" t="s">
        <x:v>164</x:v>
      </x:c>
      <x:c r="K22" t="str">
        <x:f t="shared" si="8"/>
        <x:v>G24-FTG</x:v>
      </x:c>
      <x:c r="L22" t="s">
        <x:v>165</x:v>
      </x:c>
    </x:row>
    <x:row r="23">
      <x:c r="I23" s="1" t="s">
        <x:v>166</x:v>
      </x:c>
      <x:c r="J23" t="s">
        <x:v>167</x:v>
      </x:c>
      <x:c r="K23" t="str">
        <x:f t="shared" si="8"/>
        <x:v>G25-MGG</x:v>
      </x:c>
      <x:c r="L23" t="s">
        <x:v>168</x:v>
      </x:c>
    </x:row>
    <x:row r="24">
      <x:c r="I24" s="1" t="s">
        <x:v>169</x:v>
      </x:c>
      <x:c r="J24" t="s">
        <x:v>170</x:v>
      </x:c>
      <x:c r="K24" t="str">
        <x:f t="shared" si="8"/>
        <x:v>G26-QMG</x:v>
      </x:c>
      <x:c r="L24" t="s">
        <x:v>171</x:v>
      </x:c>
    </x:row>
    <x:row r="25">
      <x:c r="I25" s="1" t="s">
        <x:v>172</x:v>
      </x:c>
      <x:c r="J25" t="s">
        <x:v>173</x:v>
      </x:c>
      <x:c r="K25" t="str">
        <x:f t="shared" si="8"/>
        <x:v>G27-LOG</x:v>
      </x:c>
      <x:c r="L25" t="s">
        <x:v>174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cols>
    <x:col min="1" max="1" width="3.21875" customWidth="1"/>
    <x:col min="3" max="3" width="13.21875" customWidth="1"/>
    <x:col min="4" max="4" width="13.21875" style="1" customWidth="1"/>
    <x:col min="5" max="6" width="22.33203125" customWidth="1"/>
    <x:col min="7" max="11" width="13.21875" customWidth="1"/>
    <x:col min="12" max="13" width="22.33203125" customWidth="1"/>
  </x:cols>
  <x:sheetData>
    <x:row r="1" ht="15"/>
    <x:row r="2" ht="15">
      <x:c r="B2" s="29" t="s">
        <x:v>175</x:v>
      </x:c>
      <x:c r="C2" s="30"/>
      <x:c r="D2" s="2"/>
      <x:c r="E2" s="31"/>
      <x:c r="F2" s="31"/>
      <x:c r="G2" s="31"/>
      <x:c r="H2" s="31"/>
      <x:c r="I2" s="31"/>
      <x:c r="J2" s="31"/>
      <x:c r="K2" s="31"/>
      <x:c r="L2" s="31"/>
      <x:c r="M2" s="3"/>
    </x:row>
    <x:row r="3" ht="27" customHeight="1">
      <x:c r="B3" s="4" t="s">
        <x:v>0</x:v>
      </x:c>
      <x:c r="C3" s="5" t="s">
        <x:v>176</x:v>
      </x:c>
      <x:c r="D3" s="5" t="s">
        <x:v>177</x:v>
      </x:c>
      <x:c r="E3" s="32" t="s">
        <x:v>178</x:v>
      </x:c>
      <x:c r="F3" s="32"/>
      <x:c r="G3" s="5" t="s">
        <x:v>11</x:v>
      </x:c>
      <x:c r="H3" s="5" t="s">
        <x:v>179</x:v>
      </x:c>
      <x:c r="I3" s="5" t="s">
        <x:v>13</x:v>
      </x:c>
      <x:c r="J3" s="5" t="s">
        <x:v>180</x:v>
      </x:c>
      <x:c r="K3" s="5" t="s">
        <x:v>181</x:v>
      </x:c>
      <x:c r="L3" s="32" t="s">
        <x:v>18</x:v>
      </x:c>
      <x:c r="M3" s="33"/>
    </x:row>
    <x:row r="4" ht="32" customHeight="1">
      <x:c r="B4" s="177" t="n">
        <x:v>1</x:v>
      </x:c>
      <x:c r="C4" s="178" t="str">
        <x:v>风险</x:v>
      </x:c>
      <x:c r="D4" s="179" t="str">
        <x:v>MES</x:v>
      </x:c>
      <x:c r="E4" s="178" t="str">
        <x:v>MES诸暨1厂上线切换窗口与生产排产冲突，若无法完成主数据冻结将影响上线。</x:v>
      </x:c>
      <x:c r="F4" s="178"/>
      <x:c r="G4" s="180" t="str">
        <x:v>曹云峰</x:v>
      </x:c>
      <x:c r="H4" s="180" t="n">
        <x:v>46252</x:v>
      </x:c>
      <x:c r="I4" s="178" t="str">
        <x:v>郑少青</x:v>
      </x:c>
      <x:c r="J4" s="180" t="str">
        <x:v>未解决</x:v>
      </x:c>
      <x:c r="K4" s="194"/>
      <x:c r="L4" s="195" t="str">
        <x:v>已建立上线风险清单，等待生产确认切换窗口。</x:v>
      </x:c>
      <x:c r="M4" s="26"/>
    </x:row>
    <x:row r="5" ht="32" customHeight="1">
      <x:c r="B5" s="182" t="n">
        <x:v>2</x:v>
      </x:c>
      <x:c r="C5" s="146" t="str">
        <x:v>问题</x:v>
      </x:c>
      <x:c r="D5" s="146" t="str">
        <x:v>U9C</x:v>
      </x:c>
      <x:c r="E5" s="146" t="str">
        <x:v>ERP与MES库存同步在夜班跨日场景出现差异。</x:v>
      </x:c>
      <x:c r="F5" s="146"/>
      <x:c r="G5" s="147" t="str">
        <x:v>郑少青</x:v>
      </x:c>
      <x:c r="H5" s="147" t="n">
        <x:v>46253</x:v>
      </x:c>
      <x:c r="I5" s="146" t="str">
        <x:v>翁子淮</x:v>
      </x:c>
      <x:c r="J5" s="147" t="str">
        <x:v>未解决</x:v>
      </x:c>
      <x:c r="K5" s="148"/>
      <x:c r="L5" s="152" t="str">
        <x:v>正在复核接口过账时点与重发机制。</x:v>
      </x:c>
      <x:c r="M5" s="28"/>
    </x:row>
    <x:row r="6" ht="32" customHeight="1">
      <x:c r="B6" s="186" t="n">
        <x:v>3</x:v>
      </x:c>
      <x:c r="C6" s="165" t="str">
        <x:v>风险</x:v>
      </x:c>
      <x:c r="D6" s="156" t="str">
        <x:v>Network</x:v>
      </x:c>
      <x:c r="E6" s="156" t="str">
        <x:v>MES上线后跨厂专线流量增长，存在带宽瓶颈风险。</x:v>
      </x:c>
      <x:c r="F6" s="156"/>
      <x:c r="G6" s="167" t="str">
        <x:v>徐海东</x:v>
      </x:c>
      <x:c r="H6" s="167" t="n">
        <x:v>46254</x:v>
      </x:c>
      <x:c r="I6" s="165" t="str">
        <x:v>周航帅</x:v>
      </x:c>
      <x:c r="J6" s="167" t="str">
        <x:v>未解决</x:v>
      </x:c>
      <x:c r="K6" s="167"/>
      <x:c r="L6" s="156" t="str">
        <x:v>已安排链路测量与扩容预案评估。</x:v>
      </x:c>
    </x:row>
    <x:row r="7" ht="32" customHeight="1">
      <x:c r="B7" s="186" t="n">
        <x:v>4</x:v>
      </x:c>
      <x:c r="C7" s="165" t="str">
        <x:v>问题</x:v>
      </x:c>
      <x:c r="D7" s="156" t="str">
        <x:v>U9C</x:v>
      </x:c>
      <x:c r="E7" s="156" t="str">
        <x:v>ERP采购入库审批流在试运行中发生卡滞。</x:v>
      </x:c>
      <x:c r="F7" s="156"/>
      <x:c r="G7" s="167" t="str">
        <x:v>黄顺吉</x:v>
      </x:c>
      <x:c r="H7" s="167" t="n">
        <x:v>46250</x:v>
      </x:c>
      <x:c r="I7" s="165" t="str">
        <x:v>黄顺吉</x:v>
      </x:c>
      <x:c r="J7" s="167" t="str">
        <x:v>已解决</x:v>
      </x:c>
      <x:c r="K7" s="167" t="n">
        <x:v>46250</x:v>
      </x:c>
      <x:c r="L7" s="156" t="str">
        <x:v>已修复审批角色映射并完成回归测试。</x:v>
      </x:c>
    </x:row>
    <x:row r="8" ht="32" customHeight="1">
      <x:c r="B8" s="186" t="n">
        <x:v>5</x:v>
      </x:c>
      <x:c r="C8" s="165" t="str">
        <x:v>风险</x:v>
      </x:c>
      <x:c r="D8" s="156" t="str">
        <x:v>Workplace</x:v>
      </x:c>
      <x:c r="E8" s="156" t="str">
        <x:v>MES工位终端缺少UPS保护，电源波动可能造成数据采集异常。</x:v>
      </x:c>
      <x:c r="F8" s="156"/>
      <x:c r="G8" s="167" t="str">
        <x:v>周航帅</x:v>
      </x:c>
      <x:c r="H8" s="167" t="n">
        <x:v>46255</x:v>
      </x:c>
      <x:c r="I8" s="165" t="str">
        <x:v>徐海东</x:v>
      </x:c>
      <x:c r="J8" s="167" t="str">
        <x:v>未解决</x:v>
      </x:c>
      <x:c r="K8" s="167"/>
      <x:c r="L8" s="156" t="str">
        <x:v>待确认UPS采购及安装计划。</x:v>
      </x:c>
    </x:row>
    <x:row r="9" ht="32" customHeight="1">
      <x:c r="B9" s="186" t="n">
        <x:v>6</x:v>
      </x:c>
      <x:c r="C9" s="165" t="str">
        <x:v>问题</x:v>
      </x:c>
      <x:c r="D9" s="156" t="str">
        <x:v>MES</x:v>
      </x:c>
      <x:c r="E9" s="156" t="str">
        <x:v>ERP与MES工单版本号不一致，可能造成旧工艺路线继续执行。</x:v>
      </x:c>
      <x:c r="F9" s="156"/>
      <x:c r="G9" s="167" t="str">
        <x:v>翁子淮</x:v>
      </x:c>
      <x:c r="H9" s="167" t="n">
        <x:v>46252</x:v>
      </x:c>
      <x:c r="I9" s="165" t="str">
        <x:v>翁子淮</x:v>
      </x:c>
      <x:c r="J9" s="167" t="str">
        <x:v>未解决</x:v>
      </x:c>
      <x:c r="K9" s="167"/>
      <x:c r="L9" s="156" t="str">
        <x:v>正在补充工单版本校验和重发机制。</x:v>
      </x:c>
    </x:row>
    <x:row r="10" ht="32" customHeight="1">
      <x:c r="B10" s="186" t="n">
        <x:v>7</x:v>
      </x:c>
      <x:c r="C10" s="165" t="str">
        <x:v>风险</x:v>
      </x:c>
      <x:c r="D10" s="156" t="str">
        <x:v>MES</x:v>
      </x:c>
      <x:c r="E10" s="156" t="str">
        <x:v>金晟工厂设备编码尚未完成复核，影响MES基础数据上线质量。</x:v>
      </x:c>
      <x:c r="F10" s="156"/>
      <x:c r="G10" s="167" t="str">
        <x:v>陈维炜</x:v>
      </x:c>
      <x:c r="H10" s="167" t="n">
        <x:v>46256</x:v>
      </x:c>
      <x:c r="I10" s="165" t="str">
        <x:v>陈维炜</x:v>
      </x:c>
      <x:c r="J10" s="167" t="str">
        <x:v>未解决</x:v>
      </x:c>
      <x:c r="K10" s="167"/>
      <x:c r="L10" s="156" t="str">
        <x:v>已导入设备台账，等待设备部确认。</x:v>
      </x:c>
    </x:row>
    <x:row r="11" ht="32" customHeight="1">
      <x:c r="B11" s="186" t="n">
        <x:v>8</x:v>
      </x:c>
      <x:c r="C11" s="165" t="str">
        <x:v>问题</x:v>
      </x:c>
      <x:c r="D11" s="156" t="str">
        <x:v>MES</x:v>
      </x:c>
      <x:c r="E11" s="156" t="str">
        <x:v>无锡弹簧车间设备采集数据夜班存在间断。</x:v>
      </x:c>
      <x:c r="F11" s="156"/>
      <x:c r="G11" s="167" t="str">
        <x:v>陈宇</x:v>
      </x:c>
      <x:c r="H11" s="167" t="n">
        <x:v>46253</x:v>
      </x:c>
      <x:c r="I11" s="165" t="str">
        <x:v>陈宇</x:v>
      </x:c>
      <x:c r="J11" s="167" t="str">
        <x:v>未解决</x:v>
      </x:c>
      <x:c r="K11" s="167"/>
      <x:c r="L11" s="156" t="str">
        <x:v>已定位网络抖动关联性，正在联合排查。</x:v>
      </x:c>
    </x:row>
    <x:row r="12" ht="32" customHeight="1">
      <x:c r="B12" s="186" t="n">
        <x:v>9</x:v>
      </x:c>
      <x:c r="C12" s="165" t="str">
        <x:v>风险</x:v>
      </x:c>
      <x:c r="D12" s="156" t="str">
        <x:v>Security</x:v>
      </x:c>
      <x:c r="E12" s="156" t="str">
        <x:v>MES与ERP上线期间高权限账号需按应急授权流程受控发放。</x:v>
      </x:c>
      <x:c r="F12" s="156"/>
      <x:c r="G12" s="167" t="str">
        <x:v>曹云峰</x:v>
      </x:c>
      <x:c r="H12" s="167" t="n">
        <x:v>46244</x:v>
      </x:c>
      <x:c r="I12" s="165" t="str">
        <x:v>徐海东</x:v>
      </x:c>
      <x:c r="J12" s="167" t="str">
        <x:v>未解决</x:v>
      </x:c>
      <x:c r="K12" s="167"/>
      <x:c r="L12" s="156" t="str">
        <x:v>权限清单已验证，等待确认最终应急名单。</x:v>
      </x:c>
    </x:row>
    <x:row r="13" ht="32" customHeight="1">
      <x:c r="B13" s="186" t="n">
        <x:v>10</x:v>
      </x:c>
      <x:c r="C13" s="165" t="str">
        <x:v>问题</x:v>
      </x:c>
      <x:c r="D13" s="156" t="str">
        <x:v>MES</x:v>
      </x:c>
      <x:c r="E13" s="156" t="str">
        <x:v>MES首件检验界面在部分浏览器版本下无法提交。</x:v>
      </x:c>
      <x:c r="F13" s="156"/>
      <x:c r="G13" s="167" t="str">
        <x:v>陈维炜</x:v>
      </x:c>
      <x:c r="H13" s="167" t="n">
        <x:v>46251</x:v>
      </x:c>
      <x:c r="I13" s="165" t="str">
        <x:v>陈维炜</x:v>
      </x:c>
      <x:c r="J13" s="167" t="str">
        <x:v>已解决</x:v>
      </x:c>
      <x:c r="K13" s="167" t="n">
        <x:v>46251</x:v>
      </x:c>
      <x:c r="L13" s="156" t="str">
        <x:v>升级前端组件后已恢复并完成现场验证。</x:v>
      </x:c>
    </x:row>
    <x:row r="14" ht="32" customHeight="1">
      <x:c r="B14" s="186" t="n">
        <x:v>11</x:v>
      </x:c>
      <x:c r="C14" s="165" t="str">
        <x:v>风险</x:v>
      </x:c>
      <x:c r="D14" s="156" t="str">
        <x:v>U9C</x:v>
      </x:c>
      <x:c r="E14" s="156" t="str">
        <x:v>ERP上线期初库存存在少量账实尾差，可能影响切换后出入库。</x:v>
      </x:c>
      <x:c r="F14" s="156"/>
      <x:c r="G14" s="167" t="str">
        <x:v>黄顺吉</x:v>
      </x:c>
      <x:c r="H14" s="167" t="n">
        <x:v>46258</x:v>
      </x:c>
      <x:c r="I14" s="165" t="str">
        <x:v>黄顺吉</x:v>
      </x:c>
      <x:c r="J14" s="167" t="str">
        <x:v>未解决</x:v>
      </x:c>
      <x:c r="K14" s="167"/>
      <x:c r="L14" s="156" t="str">
        <x:v>等待仓储确认尾差并执行二次导入。</x:v>
      </x:c>
    </x:row>
    <x:row r="15" ht="32" customHeight="1">
      <x:c r="B15" s="186" t="n">
        <x:v>12</x:v>
      </x:c>
      <x:c r="C15" s="165" t="str">
        <x:v>问题</x:v>
      </x:c>
      <x:c r="D15" s="156" t="str">
        <x:v>Workplace</x:v>
      </x:c>
      <x:c r="E15" s="156" t="str">
        <x:v>MES标签打印机驱动版本不一致导致标签格式错位。</x:v>
      </x:c>
      <x:c r="F15" s="156"/>
      <x:c r="G15" s="167" t="str">
        <x:v>徐海东</x:v>
      </x:c>
      <x:c r="H15" s="167" t="n">
        <x:v>46258</x:v>
      </x:c>
      <x:c r="I15" s="165" t="str">
        <x:v>徐海东</x:v>
      </x:c>
      <x:c r="J15" s="167" t="str">
        <x:v>未解决</x:v>
      </x:c>
      <x:c r="K15" s="167"/>
      <x:c r="L15" s="156" t="str">
        <x:v>正在统一驱动和模板版本。</x:v>
      </x:c>
    </x:row>
    <x:row r="16" ht="32" customHeight="1">
      <x:c r="B16" s="186" t="n">
        <x:v>13</x:v>
      </x:c>
      <x:c r="C16" s="165" t="str">
        <x:v>风险</x:v>
      </x:c>
      <x:c r="D16" s="156" t="str">
        <x:v>MES</x:v>
      </x:c>
      <x:c r="E16" s="156" t="str">
        <x:v>MES试运行异常处理SOP尚未完成班组现场验证。</x:v>
      </x:c>
      <x:c r="F16" s="156"/>
      <x:c r="G16" s="167" t="str">
        <x:v>翁子淮</x:v>
      </x:c>
      <x:c r="H16" s="167" t="n">
        <x:v>46254</x:v>
      </x:c>
      <x:c r="I16" s="165" t="str">
        <x:v>郑少青</x:v>
      </x:c>
      <x:c r="J16" s="167" t="str">
        <x:v>未解决</x:v>
      </x:c>
      <x:c r="K16" s="167"/>
      <x:c r="L16" s="156" t="str">
        <x:v>SOP初稿已完成，待班组长确认。</x:v>
      </x:c>
    </x:row>
    <x:row r="17" ht="32" customHeight="1">
      <x:c r="B17" s="186" t="n">
        <x:v>14</x:v>
      </x:c>
      <x:c r="C17" s="165" t="str">
        <x:v>问题</x:v>
      </x:c>
      <x:c r="D17" s="156" t="str">
        <x:v>Network</x:v>
      </x:c>
      <x:c r="E17" s="156" t="str">
        <x:v>ERP测试环境DNS仍有旧记录，影响部分办公终端访问。</x:v>
      </x:c>
      <x:c r="F17" s="156"/>
      <x:c r="G17" s="167" t="str">
        <x:v>周航帅</x:v>
      </x:c>
      <x:c r="H17" s="167" t="n">
        <x:v>46253</x:v>
      </x:c>
      <x:c r="I17" s="165" t="str">
        <x:v>周航帅</x:v>
      </x:c>
      <x:c r="J17" s="167" t="str">
        <x:v>已解决</x:v>
      </x:c>
      <x:c r="K17" s="167" t="n">
        <x:v>46253</x:v>
      </x:c>
      <x:c r="L17" s="156" t="str">
        <x:v>已刷新DNS记录并清理客户端缓存。</x:v>
      </x:c>
    </x:row>
    <x:row r="18" ht="32" customHeight="1">
      <x:c r="B18" s="186" t="n">
        <x:v>15</x:v>
      </x:c>
      <x:c r="C18" s="165" t="str">
        <x:v>风险</x:v>
      </x:c>
      <x:c r="D18" s="156" t="str">
        <x:v>MES</x:v>
      </x:c>
      <x:c r="E18" s="156" t="str">
        <x:v>无锡弹簧MES工艺路线导入需要工艺部签字确认，存在试运行延期风险。</x:v>
      </x:c>
      <x:c r="F18" s="156"/>
      <x:c r="G18" s="167" t="str">
        <x:v>陈宇</x:v>
      </x:c>
      <x:c r="H18" s="167" t="n">
        <x:v>46259</x:v>
      </x:c>
      <x:c r="I18" s="165" t="str">
        <x:v>陈宇</x:v>
      </x:c>
      <x:c r="J18" s="167" t="str">
        <x:v>未解决</x:v>
      </x:c>
      <x:c r="K18" s="167"/>
      <x:c r="L18" s="156" t="str">
        <x:v>已完成数据导入，正在跟进签字确认。</x:v>
      </x:c>
    </x:row>
    <x:row r="19" ht="32" customHeight="1">
      <x:c r="B19" s="186" t="n">
        <x:v>16</x:v>
      </x:c>
      <x:c r="C19" s="165" t="str">
        <x:v>问题</x:v>
      </x:c>
      <x:c r="D19" s="156" t="str">
        <x:v>U9C</x:v>
      </x:c>
      <x:c r="E19" s="156" t="str">
        <x:v>ERP财务凭证接口在切换演练中出现字段长度错误。</x:v>
      </x:c>
      <x:c r="F19" s="156"/>
      <x:c r="G19" s="167" t="str">
        <x:v>郑少青</x:v>
      </x:c>
      <x:c r="H19" s="167" t="n">
        <x:v>46260</x:v>
      </x:c>
      <x:c r="I19" s="165" t="str">
        <x:v>黄顺吉</x:v>
      </x:c>
      <x:c r="J19" s="167" t="str">
        <x:v>未解决</x:v>
      </x:c>
      <x:c r="K19" s="167"/>
      <x:c r="L19" s="156" t="str">
        <x:v>已提交厂商分析，等待补丁方案。</x:v>
      </x:c>
    </x:row>
  </x:sheetData>
  <x:mergeCells>
    <x:mergeCell ref="E4:F4"/>
    <x:mergeCell ref="L4:M4"/>
    <x:mergeCell ref="E5:F5"/>
    <x:mergeCell ref="L5:M5"/>
    <x:mergeCell ref="B2:C2"/>
    <x:mergeCell ref="E2:F2"/>
    <x:mergeCell ref="G2:H2"/>
    <x:mergeCell ref="I2:J2"/>
    <x:mergeCell ref="K2:L2"/>
    <x:mergeCell ref="E3:F3"/>
    <x:mergeCell ref="L3:M3"/>
  </x:mergeCells>
  <x:dataValidations count="2">
    <x:dataValidation type="list" allowBlank="1" showInputMessage="1" showErrorMessage="1" sqref="J4:J5">
      <x:formula1>"未解决,已解决"</x:formula1>
    </x:dataValidation>
    <x:dataValidation type="list" allowBlank="1" showInputMessage="1" showErrorMessage="1" sqref="C4:C5">
      <x:formula1>"风险,问题"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" defaultRowHeight="14.399999618530273"/>
  <x:cols>
    <x:col min="1" max="1" width="18" style="37" customWidth="1"/>
    <x:col min="2" max="2" width="16" style="37" customWidth="1"/>
    <x:col min="3" max="3" width="55.44140625" style="37" customWidth="1"/>
    <x:col min="4" max="4" width="19.21875" style="37" customWidth="1"/>
    <x:col min="5" max="5" width="22" style="37" customWidth="1"/>
    <x:col min="6" max="16384" width="8" style="37" customWidth="0"/>
  </x:cols>
  <x:sheetData>
    <x:row r="1" ht="20.399999618530273">
      <x:c r="A1" s="35" t="s">
        <x:v>182</x:v>
      </x:c>
      <x:c r="B1" s="36"/>
      <x:c r="C1" s="36"/>
      <x:c r="D1" s="36"/>
      <x:c r="E1" s="36"/>
    </x:row>
    <x:row r="3" ht="16.200000762939453">
      <x:c r="A3" s="38" t="s">
        <x:v>183</x:v>
      </x:c>
      <x:c r="B3" s="38" t="s">
        <x:v>184</x:v>
      </x:c>
      <x:c r="C3" s="38" t="s">
        <x:v>185</x:v>
      </x:c>
      <x:c r="D3" s="38" t="s">
        <x:v>186</x:v>
      </x:c>
    </x:row>
    <x:row r="4" ht="17.399999618530273">
      <x:c r="A4" s="39" t="s">
        <x:v>184</x:v>
      </x:c>
      <x:c r="B4" s="40" t="s">
        <x:v>187</x:v>
      </x:c>
      <x:c r="C4" s="40" t="s">
        <x:v>187</x:v>
      </x:c>
      <x:c r="D4" s="41" t="s">
        <x:v>188</x:v>
      </x:c>
    </x:row>
    <x:row r="5" ht="17.399999618530273">
      <x:c r="A5" s="39" t="s">
        <x:v>185</x:v>
      </x:c>
      <x:c r="B5" s="40" t="s">
        <x:v>187</x:v>
      </x:c>
      <x:c r="C5" s="41" t="s">
        <x:v>188</x:v>
      </x:c>
      <x:c r="D5" s="42" t="s">
        <x:v>189</x:v>
      </x:c>
    </x:row>
    <x:row r="6" ht="17.399999618530273">
      <x:c r="A6" s="39" t="s">
        <x:v>186</x:v>
      </x:c>
      <x:c r="B6" s="41" t="s">
        <x:v>188</x:v>
      </x:c>
      <x:c r="C6" s="42" t="s">
        <x:v>189</x:v>
      </x:c>
      <x:c r="D6" s="43" t="s">
        <x:v>190</x:v>
      </x:c>
    </x:row>
    <x:row r="8" ht="17.399999618530273">
      <x:c r="A8" s="44" t="s">
        <x:v>191</x:v>
      </x:c>
      <x:c r="B8" s="36"/>
      <x:c r="C8" s="36"/>
      <x:c r="D8" s="36"/>
      <x:c r="E8" s="36"/>
    </x:row>
    <x:row r="9" ht="16.200000762939453">
      <x:c r="A9" s="38" t="s">
        <x:v>6</x:v>
      </x:c>
      <x:c r="B9" s="38" t="s">
        <x:v>192</x:v>
      </x:c>
      <x:c r="C9" s="45" t="s">
        <x:v>193</x:v>
      </x:c>
      <x:c r="D9" s="45" t="s">
        <x:v>194</x:v>
      </x:c>
      <x:c r="E9" s="45" t="s">
        <x:v>195</x:v>
      </x:c>
    </x:row>
    <x:row r="10" ht="15.600000381469727">
      <x:c r="A10" s="46" t="s">
        <x:v>187</x:v>
      </x:c>
      <x:c r="B10" s="47" t="s">
        <x:v>196</x:v>
      </x:c>
      <x:c r="C10" s="48" t="s">
        <x:v>197</x:v>
      </x:c>
      <x:c r="D10" s="48" t="s">
        <x:v>198</x:v>
      </x:c>
      <x:c r="E10" s="48" t="s">
        <x:v>199</x:v>
      </x:c>
    </x:row>
    <x:row r="11" ht="15.600000381469727">
      <x:c r="A11" s="49" t="s">
        <x:v>188</x:v>
      </x:c>
      <x:c r="B11" s="47" t="s">
        <x:v>184</x:v>
      </x:c>
      <x:c r="C11" s="48" t="s">
        <x:v>200</x:v>
      </x:c>
      <x:c r="D11" s="48" t="s">
        <x:v>201</x:v>
      </x:c>
      <x:c r="E11" s="48" t="s">
        <x:v>202</x:v>
      </x:c>
    </x:row>
    <x:row r="12" ht="15.600000381469727">
      <x:c r="A12" s="50" t="s">
        <x:v>189</x:v>
      </x:c>
      <x:c r="B12" s="47" t="s">
        <x:v>185</x:v>
      </x:c>
      <x:c r="C12" s="48" t="s">
        <x:v>203</x:v>
      </x:c>
      <x:c r="D12" s="48" t="s">
        <x:v>204</x:v>
      </x:c>
      <x:c r="E12" s="48" t="s">
        <x:v>205</x:v>
      </x:c>
    </x:row>
    <x:row r="13" ht="15.600000381469727">
      <x:c r="A13" s="51" t="s">
        <x:v>190</x:v>
      </x:c>
      <x:c r="B13" s="47" t="s">
        <x:v>186</x:v>
      </x:c>
      <x:c r="C13" s="48" t="s">
        <x:v>206</x:v>
      </x:c>
      <x:c r="D13" s="48" t="s">
        <x:v>205</x:v>
      </x:c>
      <x:c r="E13" s="48" t="s">
        <x:v>207</x:v>
      </x:c>
    </x:row>
  </x:sheetData>
  <x:mergeCells>
    <x:mergeCell ref="A1:E1"/>
    <x:mergeCell ref="A8:E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" defaultRowHeight="14.399999618530273"/>
  <x:cols>
    <x:col min="1" max="1" width="10" style="37" customWidth="1"/>
    <x:col min="2" max="2" width="57.6640625" style="37" customWidth="1"/>
    <x:col min="3" max="3" width="40.88671875" style="37" customWidth="1"/>
    <x:col min="4" max="4" width="44" style="37" customWidth="1"/>
    <x:col min="5" max="16384" width="8" style="37" customWidth="0"/>
  </x:cols>
  <x:sheetData>
    <x:row r="1" ht="20.399999618530273">
      <x:c r="A1" s="35" t="s">
        <x:v>208</x:v>
      </x:c>
      <x:c r="B1" s="36"/>
      <x:c r="C1" s="36"/>
      <x:c r="D1" s="36"/>
    </x:row>
    <x:row r="3" ht="16.200000762939453">
      <x:c r="A3" s="38" t="s">
        <x:v>209</x:v>
      </x:c>
      <x:c r="B3" s="38" t="s">
        <x:v>193</x:v>
      </x:c>
      <x:c r="C3" s="38" t="s">
        <x:v>210</x:v>
      </x:c>
      <x:c r="D3" s="38" t="s">
        <x:v>211</x:v>
      </x:c>
    </x:row>
    <x:row r="4" ht="15.600000381469727">
      <x:c r="A4" s="39" t="s">
        <x:v>212</x:v>
      </x:c>
      <x:c r="B4" s="48" t="s">
        <x:v>213</x:v>
      </x:c>
      <x:c r="C4" s="48" t="s">
        <x:v>214</x:v>
      </x:c>
      <x:c r="D4" s="48" t="s">
        <x:v>215</x:v>
      </x:c>
    </x:row>
    <x:row r="5" ht="15.600000381469727">
      <x:c r="A5" s="39" t="s">
        <x:v>216</x:v>
      </x:c>
      <x:c r="B5" s="48" t="s">
        <x:v>217</x:v>
      </x:c>
      <x:c r="C5" s="48" t="s">
        <x:v>218</x:v>
      </x:c>
      <x:c r="D5" s="48" t="s">
        <x:v>219</x:v>
      </x:c>
    </x:row>
    <x:row r="6" ht="15.600000381469727">
      <x:c r="A6" s="39" t="s">
        <x:v>220</x:v>
      </x:c>
      <x:c r="B6" s="48" t="s">
        <x:v>221</x:v>
      </x:c>
      <x:c r="C6" s="48" t="s">
        <x:v>222</x:v>
      </x:c>
      <x:c r="D6" s="48" t="s">
        <x:v>223</x:v>
      </x:c>
    </x:row>
    <x:row r="8" ht="20.399999618530273">
      <x:c r="A8" s="35" t="s">
        <x:v>224</x:v>
      </x:c>
      <x:c r="B8" s="36"/>
      <x:c r="C8" s="36"/>
      <x:c r="D8" s="36"/>
    </x:row>
    <x:row r="10" ht="16.200000762939453">
      <x:c r="A10" s="38" t="s">
        <x:v>209</x:v>
      </x:c>
      <x:c r="B10" s="38" t="s">
        <x:v>193</x:v>
      </x:c>
      <x:c r="C10" s="38" t="s">
        <x:v>225</x:v>
      </x:c>
      <x:c r="D10" s="38" t="s">
        <x:v>226</x:v>
      </x:c>
    </x:row>
    <x:row r="11" ht="15.600000381469727">
      <x:c r="A11" s="52" t="s">
        <x:v>212</x:v>
      </x:c>
      <x:c r="B11" s="48" t="s">
        <x:v>227</x:v>
      </x:c>
      <x:c r="C11" s="48" t="s">
        <x:v>228</x:v>
      </x:c>
      <x:c r="D11" s="48" t="s">
        <x:v>229</x:v>
      </x:c>
    </x:row>
    <x:row r="12" ht="15.600000381469727">
      <x:c r="A12" s="52" t="s">
        <x:v>216</x:v>
      </x:c>
      <x:c r="B12" s="48" t="s">
        <x:v>230</x:v>
      </x:c>
      <x:c r="C12" s="48" t="s">
        <x:v>231</x:v>
      </x:c>
      <x:c r="D12" s="48" t="s">
        <x:v>232</x:v>
      </x:c>
    </x:row>
    <x:row r="13" ht="15.600000381469727">
      <x:c r="A13" s="52" t="s">
        <x:v>220</x:v>
      </x:c>
      <x:c r="B13" s="48" t="s">
        <x:v>233</x:v>
      </x:c>
      <x:c r="C13" s="48" t="s">
        <x:v>234</x:v>
      </x:c>
      <x:c r="D13" s="48" t="s">
        <x:v>235</x:v>
      </x:c>
    </x:row>
    <x:row r="16">
      <x:c r="A16" s="37" t="s">
        <x:v>236</x:v>
      </x:c>
    </x:row>
    <x:row r="17">
      <x:c r="A17" s="37" t="s">
        <x:v>237</x:v>
      </x:c>
      <x:c r="B17" s="37" t="s">
        <x:v>63</x:v>
      </x:c>
    </x:row>
    <x:row r="18">
      <x:c r="A18" s="37" t="s">
        <x:v>238</x:v>
      </x:c>
      <x:c r="B18" s="37" t="s">
        <x:v>52</x:v>
      </x:c>
    </x:row>
    <x:row r="19">
      <x:c r="A19" s="37" t="s">
        <x:v>239</x:v>
      </x:c>
      <x:c r="B19" s="37" t="s">
        <x:v>73</x:v>
      </x:c>
    </x:row>
  </x:sheetData>
  <x:mergeCells>
    <x:mergeCell ref="A1:D1"/>
    <x:mergeCell ref="A8:D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" defaultRowHeight="14.399999618530273"/>
  <x:cols>
    <x:col min="1" max="1" width="10" style="37" customWidth="1"/>
    <x:col min="2" max="2" width="14" style="37" customWidth="1"/>
    <x:col min="3" max="3" width="22" style="37" customWidth="1"/>
    <x:col min="4" max="4" width="40" style="37" customWidth="1"/>
    <x:col min="5" max="5" width="22" style="37" customWidth="1"/>
    <x:col min="6" max="6" width="28.33203125" style="37" customWidth="1"/>
    <x:col min="7" max="8" width="35" style="37" customWidth="1"/>
    <x:col min="9" max="16384" width="8" style="37" customWidth="0"/>
  </x:cols>
  <x:sheetData>
    <x:row r="1" ht="20.399999618530273">
      <x:c r="A1" s="35" t="s">
        <x:v>240</x:v>
      </x:c>
      <x:c r="B1" s="36"/>
      <x:c r="C1" s="36"/>
      <x:c r="D1" s="36"/>
      <x:c r="E1" s="36"/>
      <x:c r="F1" s="36"/>
      <x:c r="G1" s="36"/>
      <x:c r="H1" s="36"/>
    </x:row>
    <x:row r="3" ht="16.200000762939453">
      <x:c r="A3" s="38" t="s">
        <x:v>6</x:v>
      </x:c>
      <x:c r="B3" s="38" t="s">
        <x:v>192</x:v>
      </x:c>
      <x:c r="C3" s="38" t="s">
        <x:v>241</x:v>
      </x:c>
      <x:c r="D3" s="38" t="s">
        <x:v>242</x:v>
      </x:c>
      <x:c r="E3" s="38" t="s">
        <x:v>243</x:v>
      </x:c>
      <x:c r="F3" s="38" t="s">
        <x:v>244</x:v>
      </x:c>
      <x:c r="G3" s="38" t="s">
        <x:v>245</x:v>
      </x:c>
      <x:c r="H3" s="38" t="s">
        <x:v>246</x:v>
      </x:c>
    </x:row>
    <x:row r="4" ht="60">
      <x:c r="A4" s="53" t="s">
        <x:v>187</x:v>
      </x:c>
      <x:c r="B4" s="47" t="s">
        <x:v>247</x:v>
      </x:c>
      <x:c r="C4" s="48" t="s">
        <x:v>248</x:v>
      </x:c>
      <x:c r="D4" s="48" t="s">
        <x:v>249</x:v>
      </x:c>
      <x:c r="E4" s="48" t="s">
        <x:v>250</x:v>
      </x:c>
      <x:c r="F4" s="48" t="s">
        <x:v>251</x:v>
      </x:c>
      <x:c r="G4" s="48" t="s">
        <x:v>252</x:v>
      </x:c>
      <x:c r="H4" s="48" t="s">
        <x:v>253</x:v>
      </x:c>
    </x:row>
    <x:row r="5" ht="30">
      <x:c r="A5" s="54" t="s">
        <x:v>188</x:v>
      </x:c>
      <x:c r="B5" s="47" t="s">
        <x:v>254</x:v>
      </x:c>
      <x:c r="C5" s="48" t="s">
        <x:v>255</x:v>
      </x:c>
      <x:c r="D5" s="48" t="s">
        <x:v>256</x:v>
      </x:c>
      <x:c r="E5" s="48" t="s">
        <x:v>257</x:v>
      </x:c>
      <x:c r="F5" s="48" t="s">
        <x:v>258</x:v>
      </x:c>
      <x:c r="G5" s="48" t="s">
        <x:v>259</x:v>
      </x:c>
      <x:c r="H5" s="48" t="s">
        <x:v>260</x:v>
      </x:c>
    </x:row>
    <x:row r="6" ht="30">
      <x:c r="A6" s="55" t="s">
        <x:v>189</x:v>
      </x:c>
      <x:c r="B6" s="47" t="s">
        <x:v>261</x:v>
      </x:c>
      <x:c r="C6" s="48" t="s">
        <x:v>262</x:v>
      </x:c>
      <x:c r="D6" s="48" t="s">
        <x:v>263</x:v>
      </x:c>
      <x:c r="E6" s="48" t="s">
        <x:v>264</x:v>
      </x:c>
      <x:c r="F6" s="48" t="s">
        <x:v>265</x:v>
      </x:c>
      <x:c r="G6" s="48" t="s">
        <x:v>266</x:v>
      </x:c>
      <x:c r="H6" s="48" t="s">
        <x:v>267</x:v>
      </x:c>
    </x:row>
    <x:row r="7" ht="30">
      <x:c r="A7" s="56" t="s">
        <x:v>190</x:v>
      </x:c>
      <x:c r="B7" s="47" t="s">
        <x:v>268</x:v>
      </x:c>
      <x:c r="C7" s="48" t="s">
        <x:v>269</x:v>
      </x:c>
      <x:c r="D7" s="48" t="s">
        <x:v>270</x:v>
      </x:c>
      <x:c r="E7" s="48" t="s">
        <x:v>265</x:v>
      </x:c>
      <x:c r="F7" s="48" t="s">
        <x:v>271</x:v>
      </x:c>
      <x:c r="G7" s="48" t="s">
        <x:v>272</x:v>
      </x:c>
      <x:c r="H7" s="48" t="s">
        <x:v>273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8" defaultRowHeight="14.399999618530273"/>
  <x:cols>
    <x:col min="1" max="1" width="10" style="37" customWidth="1"/>
    <x:col min="2" max="2" width="38" style="37" customWidth="1"/>
    <x:col min="3" max="4" width="10" style="37" customWidth="1"/>
    <x:col min="5" max="5" width="25" style="37" customWidth="1"/>
    <x:col min="6" max="6" width="62.88671875" style="37" customWidth="1"/>
    <x:col min="7" max="16384" width="8" style="37" customWidth="0"/>
  </x:cols>
  <x:sheetData>
    <x:row r="1" ht="20.399999618530273">
      <x:c r="A1" s="35" t="s">
        <x:v>274</x:v>
      </x:c>
      <x:c r="B1" s="36"/>
      <x:c r="C1" s="36"/>
      <x:c r="D1" s="36"/>
      <x:c r="E1" s="36"/>
      <x:c r="F1" s="36"/>
    </x:row>
    <x:row r="3" ht="16.200000762939453">
      <x:c r="A3" s="38" t="s">
        <x:v>6</x:v>
      </x:c>
      <x:c r="B3" s="38" t="s">
        <x:v>275</x:v>
      </x:c>
      <x:c r="C3" s="38" t="s">
        <x:v>4</x:v>
      </x:c>
      <x:c r="D3" s="38" t="s">
        <x:v>276</x:v>
      </x:c>
      <x:c r="E3" s="38" t="s">
        <x:v>210</x:v>
      </x:c>
      <x:c r="F3" s="38" t="s">
        <x:v>277</x:v>
      </x:c>
    </x:row>
    <x:row r="4" ht="30">
      <x:c r="A4" s="46" t="s">
        <x:v>187</x:v>
      </x:c>
      <x:c r="B4" s="48" t="s">
        <x:v>278</x:v>
      </x:c>
      <x:c r="C4" s="47" t="s">
        <x:v>212</x:v>
      </x:c>
      <x:c r="D4" s="47" t="s">
        <x:v>212</x:v>
      </x:c>
      <x:c r="E4" s="47" t="s">
        <x:v>279</x:v>
      </x:c>
      <x:c r="F4" s="48" t="s">
        <x:v>280</x:v>
      </x:c>
    </x:row>
    <x:row r="5" ht="30">
      <x:c r="A5" s="46" t="s">
        <x:v>187</x:v>
      </x:c>
      <x:c r="B5" s="48" t="s">
        <x:v>281</x:v>
      </x:c>
      <x:c r="C5" s="47" t="s">
        <x:v>212</x:v>
      </x:c>
      <x:c r="D5" s="47" t="s">
        <x:v>212</x:v>
      </x:c>
      <x:c r="E5" s="47" t="s">
        <x:v>282</x:v>
      </x:c>
      <x:c r="F5" s="48" t="s">
        <x:v>283</x:v>
      </x:c>
    </x:row>
    <x:row r="6" ht="30">
      <x:c r="A6" s="46" t="s">
        <x:v>187</x:v>
      </x:c>
      <x:c r="B6" s="48" t="s">
        <x:v>284</x:v>
      </x:c>
      <x:c r="C6" s="47" t="s">
        <x:v>212</x:v>
      </x:c>
      <x:c r="D6" s="47" t="s">
        <x:v>216</x:v>
      </x:c>
      <x:c r="E6" s="47" t="s">
        <x:v>285</x:v>
      </x:c>
      <x:c r="F6" s="48" t="s">
        <x:v>286</x:v>
      </x:c>
    </x:row>
    <x:row r="7" ht="45">
      <x:c r="A7" s="46" t="s">
        <x:v>187</x:v>
      </x:c>
      <x:c r="B7" s="48" t="s">
        <x:v>287</x:v>
      </x:c>
      <x:c r="C7" s="47" t="s">
        <x:v>212</x:v>
      </x:c>
      <x:c r="D7" s="47" t="s">
        <x:v>212</x:v>
      </x:c>
      <x:c r="E7" s="47" t="s">
        <x:v>288</x:v>
      </x:c>
      <x:c r="F7" s="48" t="s">
        <x:v>289</x:v>
      </x:c>
    </x:row>
    <x:row r="8" ht="30">
      <x:c r="A8" s="49" t="s">
        <x:v>188</x:v>
      </x:c>
      <x:c r="B8" s="48" t="s">
        <x:v>290</x:v>
      </x:c>
      <x:c r="C8" s="47" t="s">
        <x:v>216</x:v>
      </x:c>
      <x:c r="D8" s="47" t="s">
        <x:v>212</x:v>
      </x:c>
      <x:c r="E8" s="47" t="s">
        <x:v>291</x:v>
      </x:c>
      <x:c r="F8" s="48" t="s">
        <x:v>292</x:v>
      </x:c>
    </x:row>
    <x:row r="9" ht="30">
      <x:c r="A9" s="49" t="s">
        <x:v>188</x:v>
      </x:c>
      <x:c r="B9" s="48" t="s">
        <x:v>293</x:v>
      </x:c>
      <x:c r="C9" s="47" t="s">
        <x:v>216</x:v>
      </x:c>
      <x:c r="D9" s="47" t="s">
        <x:v>212</x:v>
      </x:c>
      <x:c r="E9" s="47" t="s">
        <x:v>294</x:v>
      </x:c>
      <x:c r="F9" s="48" t="s">
        <x:v>295</x:v>
      </x:c>
    </x:row>
    <x:row r="10" ht="30">
      <x:c r="A10" s="49" t="s">
        <x:v>188</x:v>
      </x:c>
      <x:c r="B10" s="48" t="s">
        <x:v>296</x:v>
      </x:c>
      <x:c r="C10" s="47" t="s">
        <x:v>212</x:v>
      </x:c>
      <x:c r="D10" s="47" t="s">
        <x:v>216</x:v>
      </x:c>
      <x:c r="E10" s="47" t="s">
        <x:v>297</x:v>
      </x:c>
      <x:c r="F10" s="48" t="s">
        <x:v>298</x:v>
      </x:c>
    </x:row>
    <x:row r="11" ht="45">
      <x:c r="A11" s="49" t="s">
        <x:v>188</x:v>
      </x:c>
      <x:c r="B11" s="48" t="s">
        <x:v>299</x:v>
      </x:c>
      <x:c r="C11" s="47" t="s">
        <x:v>216</x:v>
      </x:c>
      <x:c r="D11" s="47" t="s">
        <x:v>216</x:v>
      </x:c>
      <x:c r="E11" s="47" t="s">
        <x:v>300</x:v>
      </x:c>
      <x:c r="F11" s="48" t="s">
        <x:v>301</x:v>
      </x:c>
    </x:row>
    <x:row r="12" ht="30">
      <x:c r="A12" s="50" t="s">
        <x:v>189</x:v>
      </x:c>
      <x:c r="B12" s="48" t="s">
        <x:v>302</x:v>
      </x:c>
      <x:c r="C12" s="47" t="s">
        <x:v>220</x:v>
      </x:c>
      <x:c r="D12" s="47" t="s">
        <x:v>216</x:v>
      </x:c>
      <x:c r="E12" s="47" t="s">
        <x:v>303</x:v>
      </x:c>
      <x:c r="F12" s="48" t="s">
        <x:v>304</x:v>
      </x:c>
    </x:row>
    <x:row r="13" ht="30">
      <x:c r="A13" s="50" t="s">
        <x:v>189</x:v>
      </x:c>
      <x:c r="B13" s="48" t="s">
        <x:v>305</x:v>
      </x:c>
      <x:c r="C13" s="47" t="s">
        <x:v>220</x:v>
      </x:c>
      <x:c r="D13" s="47" t="s">
        <x:v>216</x:v>
      </x:c>
      <x:c r="E13" s="47" t="s">
        <x:v>306</x:v>
      </x:c>
      <x:c r="F13" s="48" t="s">
        <x:v>307</x:v>
      </x:c>
    </x:row>
    <x:row r="14" ht="30">
      <x:c r="A14" s="50" t="s">
        <x:v>189</x:v>
      </x:c>
      <x:c r="B14" s="48" t="s">
        <x:v>308</x:v>
      </x:c>
      <x:c r="C14" s="47" t="s">
        <x:v>220</x:v>
      </x:c>
      <x:c r="D14" s="47" t="s">
        <x:v>220</x:v>
      </x:c>
      <x:c r="E14" s="47" t="s">
        <x:v>309</x:v>
      </x:c>
      <x:c r="F14" s="48" t="s">
        <x:v>310</x:v>
      </x:c>
    </x:row>
    <x:row r="15" ht="30">
      <x:c r="A15" s="50" t="s">
        <x:v>189</x:v>
      </x:c>
      <x:c r="B15" s="48" t="s">
        <x:v>311</x:v>
      </x:c>
      <x:c r="C15" s="47" t="s">
        <x:v>220</x:v>
      </x:c>
      <x:c r="D15" s="47" t="s">
        <x:v>216</x:v>
      </x:c>
      <x:c r="E15" s="47" t="s">
        <x:v>312</x:v>
      </x:c>
      <x:c r="F15" s="48" t="s">
        <x:v>313</x:v>
      </x:c>
    </x:row>
    <x:row r="16" ht="15.600000381469727">
      <x:c r="A16" s="51" t="s">
        <x:v>190</x:v>
      </x:c>
      <x:c r="B16" s="48" t="s">
        <x:v>314</x:v>
      </x:c>
      <x:c r="C16" s="47" t="s">
        <x:v>220</x:v>
      </x:c>
      <x:c r="D16" s="47" t="s">
        <x:v>220</x:v>
      </x:c>
      <x:c r="E16" s="47" t="s">
        <x:v>315</x:v>
      </x:c>
      <x:c r="F16" s="48" t="s">
        <x:v>316</x:v>
      </x:c>
    </x:row>
    <x:row r="17" ht="15.600000381469727">
      <x:c r="A17" s="51" t="s">
        <x:v>190</x:v>
      </x:c>
      <x:c r="B17" s="48" t="s">
        <x:v>317</x:v>
      </x:c>
      <x:c r="C17" s="47" t="s">
        <x:v>220</x:v>
      </x:c>
      <x:c r="D17" s="47" t="s">
        <x:v>220</x:v>
      </x:c>
      <x:c r="E17" s="47" t="s">
        <x:v>318</x:v>
      </x:c>
      <x:c r="F17" s="48" t="s">
        <x:v>319</x:v>
      </x:c>
    </x:row>
    <x:row r="18" ht="15.600000381469727">
      <x:c r="A18" s="51" t="s">
        <x:v>190</x:v>
      </x:c>
      <x:c r="B18" s="48" t="s">
        <x:v>320</x:v>
      </x:c>
      <x:c r="C18" s="47" t="s">
        <x:v>220</x:v>
      </x:c>
      <x:c r="D18" s="47" t="s">
        <x:v>220</x:v>
      </x:c>
      <x:c r="E18" s="47" t="s">
        <x:v>321</x:v>
      </x:c>
      <x:c r="F18" s="48" t="s">
        <x:v>322</x:v>
      </x:c>
    </x:row>
    <x:row r="19" ht="30">
      <x:c r="A19" s="51" t="s">
        <x:v>190</x:v>
      </x:c>
      <x:c r="B19" s="48" t="s">
        <x:v>323</x:v>
      </x:c>
      <x:c r="C19" s="47" t="s">
        <x:v>220</x:v>
      </x:c>
      <x:c r="D19" s="47" t="s">
        <x:v>220</x:v>
      </x:c>
      <x:c r="E19" s="47" t="s">
        <x:v>324</x:v>
      </x:c>
      <x:c r="F19" s="48" t="s">
        <x:v>325</x:v>
      </x:c>
    </x:row>
  </x:sheetData>
  <x:mergeCells>
    <x:mergeCell ref="A1:F1"/>
  </x:mergeCells>
  <x:pageMargins left="0.7" right="0.7" top="0.75" bottom="0.75" header="0.3" footer="0.3"/>
</x:worksheet>
</file>